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2. Penyuluh Anti Korupsi\2026\Mertasari\"/>
    </mc:Choice>
  </mc:AlternateContent>
  <xr:revisionPtr revIDLastSave="0" documentId="13_ncr:1_{77DAAF84-9DE1-4EBB-BC41-0D4C244493E6}" xr6:coauthVersionLast="47" xr6:coauthVersionMax="47" xr10:uidLastSave="{00000000-0000-0000-0000-000000000000}"/>
  <bookViews>
    <workbookView xWindow="-108" yWindow="-108" windowWidth="23256" windowHeight="14616" firstSheet="5" activeTab="5" xr2:uid="{00000000-000D-0000-FFFF-FFFF00000000}"/>
  </bookViews>
  <sheets>
    <sheet name="Cover" sheetId="2" r:id="rId1"/>
    <sheet name="Ringkasan" sheetId="3" r:id="rId2"/>
    <sheet name="SKM Layanan" sheetId="4" r:id="rId3"/>
    <sheet name="Antikorupsi" sheetId="5" r:id="rId4"/>
    <sheet name="Pemahaman" sheetId="8" r:id="rId5"/>
    <sheet name="Rencana Aksi" sheetId="7" r:id="rId6"/>
    <sheet name="Respons Survei" sheetId="1" r:id="rId7"/>
    <sheet name="Publikasi Grafis" sheetId="14" r:id="rId8"/>
    <sheet name="Konsep Publikasi"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4" l="1"/>
  <c r="B16" i="14"/>
  <c r="C15" i="14"/>
  <c r="B15" i="14"/>
  <c r="C14" i="14"/>
  <c r="B14" i="14"/>
  <c r="G6" i="14"/>
  <c r="D6" i="14"/>
  <c r="A6" i="14"/>
  <c r="C11" i="7"/>
  <c r="C10" i="7"/>
  <c r="C9" i="7"/>
  <c r="B34" i="3"/>
  <c r="B21" i="3"/>
  <c r="B20" i="3"/>
  <c r="A10" i="3"/>
  <c r="E6" i="3"/>
  <c r="E27" i="8"/>
  <c r="E26" i="8"/>
  <c r="E25" i="8"/>
  <c r="E24" i="8"/>
  <c r="B27" i="8"/>
  <c r="B26" i="8"/>
  <c r="B25" i="8"/>
  <c r="B24" i="8"/>
  <c r="F20" i="8"/>
  <c r="J17" i="8"/>
  <c r="I17" i="8"/>
  <c r="H17" i="8"/>
  <c r="G17" i="8"/>
  <c r="F17" i="8"/>
  <c r="E17" i="8"/>
  <c r="D17" i="8"/>
  <c r="J16" i="8"/>
  <c r="H16" i="8"/>
  <c r="I16" i="8" s="1"/>
  <c r="G16" i="8"/>
  <c r="F16" i="8"/>
  <c r="E16" i="8"/>
  <c r="D16" i="8"/>
  <c r="J15" i="8"/>
  <c r="H15" i="8"/>
  <c r="I15" i="8" s="1"/>
  <c r="G15" i="8"/>
  <c r="F15" i="8"/>
  <c r="E15" i="8"/>
  <c r="D15" i="8"/>
  <c r="J14" i="8"/>
  <c r="H14" i="8"/>
  <c r="I14" i="8" s="1"/>
  <c r="G14" i="8"/>
  <c r="F14" i="8"/>
  <c r="E14" i="8"/>
  <c r="D14" i="8"/>
  <c r="J13" i="8"/>
  <c r="H13" i="8"/>
  <c r="I13" i="8" s="1"/>
  <c r="G13" i="8"/>
  <c r="F13" i="8"/>
  <c r="E13" i="8"/>
  <c r="D13" i="8"/>
  <c r="J12" i="8"/>
  <c r="H12" i="8"/>
  <c r="I12" i="8" s="1"/>
  <c r="G12" i="8"/>
  <c r="F12" i="8"/>
  <c r="E12" i="8"/>
  <c r="D12" i="8"/>
  <c r="J11" i="8"/>
  <c r="H11" i="8"/>
  <c r="I11" i="8" s="1"/>
  <c r="G11" i="8"/>
  <c r="F11" i="8"/>
  <c r="E11" i="8"/>
  <c r="D11" i="8"/>
  <c r="J10" i="8"/>
  <c r="H10" i="8"/>
  <c r="I10" i="8" s="1"/>
  <c r="G10" i="8"/>
  <c r="F10" i="8"/>
  <c r="E10" i="8"/>
  <c r="D10" i="8"/>
  <c r="J9" i="8"/>
  <c r="H9" i="8"/>
  <c r="I9" i="8" s="1"/>
  <c r="G9" i="8"/>
  <c r="F9" i="8"/>
  <c r="E9" i="8"/>
  <c r="D9" i="8"/>
  <c r="J8" i="8"/>
  <c r="H8" i="8"/>
  <c r="I8" i="8" s="1"/>
  <c r="G8" i="8"/>
  <c r="F8" i="8"/>
  <c r="E8" i="8"/>
  <c r="D8" i="8"/>
  <c r="J7" i="8"/>
  <c r="H7" i="8"/>
  <c r="I7" i="8" s="1"/>
  <c r="G7" i="8"/>
  <c r="F7" i="8"/>
  <c r="E7" i="8"/>
  <c r="D7" i="8"/>
  <c r="J6" i="8"/>
  <c r="H6" i="8"/>
  <c r="I6" i="8" s="1"/>
  <c r="G6" i="8"/>
  <c r="F6" i="8"/>
  <c r="E6" i="8"/>
  <c r="D6" i="8"/>
  <c r="C13" i="7"/>
  <c r="C12" i="7"/>
  <c r="C8" i="7"/>
  <c r="C7" i="7"/>
  <c r="C6" i="7"/>
  <c r="G21" i="3" a="1"/>
  <c r="B33" i="3"/>
  <c r="B32" i="3"/>
  <c r="G22" i="3"/>
  <c r="G20" i="3"/>
  <c r="G19" i="3"/>
  <c r="G18" i="3"/>
  <c r="G17" i="3"/>
  <c r="B22" i="3"/>
  <c r="B19" i="3"/>
  <c r="B18" i="3"/>
  <c r="B17" i="3"/>
  <c r="G6" i="3"/>
  <c r="C6" i="3"/>
  <c r="A6" i="3"/>
  <c r="F17" i="5"/>
  <c r="I14" i="5"/>
  <c r="H14" i="5"/>
  <c r="G14" i="5"/>
  <c r="F14" i="5"/>
  <c r="E14" i="5"/>
  <c r="D14" i="5"/>
  <c r="H13" i="5"/>
  <c r="I13" i="5" s="1"/>
  <c r="G13" i="5"/>
  <c r="F13" i="5"/>
  <c r="E13" i="5"/>
  <c r="D13" i="5"/>
  <c r="H12" i="5"/>
  <c r="I12" i="5" s="1"/>
  <c r="G12" i="5"/>
  <c r="F12" i="5"/>
  <c r="E12" i="5"/>
  <c r="D12" i="5"/>
  <c r="H11" i="5"/>
  <c r="I11" i="5" s="1"/>
  <c r="G11" i="5"/>
  <c r="F11" i="5"/>
  <c r="E11" i="5"/>
  <c r="D11" i="5"/>
  <c r="H10" i="5"/>
  <c r="I10" i="5" s="1"/>
  <c r="G10" i="5"/>
  <c r="F10" i="5"/>
  <c r="E10" i="5"/>
  <c r="D10" i="5"/>
  <c r="H9" i="5"/>
  <c r="I9" i="5" s="1"/>
  <c r="G9" i="5"/>
  <c r="F9" i="5"/>
  <c r="E9" i="5"/>
  <c r="D9" i="5"/>
  <c r="H8" i="5"/>
  <c r="I8" i="5" s="1"/>
  <c r="G8" i="5"/>
  <c r="F8" i="5"/>
  <c r="E8" i="5"/>
  <c r="D8" i="5"/>
  <c r="H7" i="5"/>
  <c r="I7" i="5" s="1"/>
  <c r="G7" i="5"/>
  <c r="F7" i="5"/>
  <c r="E7" i="5"/>
  <c r="D7" i="5"/>
  <c r="H6" i="5"/>
  <c r="I6" i="5" s="1"/>
  <c r="G6" i="5"/>
  <c r="F6" i="5"/>
  <c r="E6" i="5"/>
  <c r="D6" i="5"/>
  <c r="H17" i="4"/>
  <c r="G17" i="4"/>
  <c r="F17" i="4"/>
  <c r="J14" i="4"/>
  <c r="I14" i="4"/>
  <c r="H14" i="4"/>
  <c r="G14" i="4"/>
  <c r="F14" i="4"/>
  <c r="E14" i="4"/>
  <c r="D14" i="4"/>
  <c r="J13" i="4"/>
  <c r="H13" i="4"/>
  <c r="I13" i="4" s="1"/>
  <c r="G13" i="4"/>
  <c r="F13" i="4"/>
  <c r="E13" i="4"/>
  <c r="D13" i="4"/>
  <c r="J12" i="4"/>
  <c r="H12" i="4"/>
  <c r="I12" i="4" s="1"/>
  <c r="G12" i="4"/>
  <c r="F12" i="4"/>
  <c r="E12" i="4"/>
  <c r="D12" i="4"/>
  <c r="J11" i="4"/>
  <c r="H11" i="4"/>
  <c r="I11" i="4" s="1"/>
  <c r="G11" i="4"/>
  <c r="F11" i="4"/>
  <c r="E11" i="4"/>
  <c r="D11" i="4"/>
  <c r="J10" i="4"/>
  <c r="H10" i="4"/>
  <c r="I10" i="4" s="1"/>
  <c r="G10" i="4"/>
  <c r="F10" i="4"/>
  <c r="E10" i="4"/>
  <c r="D10" i="4"/>
  <c r="J9" i="4"/>
  <c r="H9" i="4"/>
  <c r="I9" i="4" s="1"/>
  <c r="G9" i="4"/>
  <c r="F9" i="4"/>
  <c r="E9" i="4"/>
  <c r="D9" i="4"/>
  <c r="J8" i="4"/>
  <c r="H8" i="4"/>
  <c r="I8" i="4" s="1"/>
  <c r="G8" i="4"/>
  <c r="F8" i="4"/>
  <c r="E8" i="4"/>
  <c r="D8" i="4"/>
  <c r="J7" i="4"/>
  <c r="H7" i="4"/>
  <c r="I7" i="4" s="1"/>
  <c r="G7" i="4"/>
  <c r="F7" i="4"/>
  <c r="E7" i="4"/>
  <c r="D7" i="4"/>
  <c r="J6" i="4"/>
  <c r="H6" i="4"/>
  <c r="I6" i="4" s="1"/>
  <c r="G6" i="4"/>
  <c r="F6" i="4"/>
  <c r="E6" i="4"/>
  <c r="D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<sst xmlns="http://schemas.openxmlformats.org/spreadsheetml/2006/main" count="10752" uniqueCount="1147">
  <si>
    <t>ID</t>
  </si>
  <si>
    <t>Start time</t>
  </si>
  <si>
    <t>Completion time</t>
  </si>
  <si>
    <t>Email</t>
  </si>
  <si>
    <t>Name</t>
  </si>
  <si>
    <t>Last modified time</t>
  </si>
  <si>
    <t>Jenis Kelamin</t>
  </si>
  <si>
    <t>Usia</t>
  </si>
  <si>
    <t>Pendidikan</t>
  </si>
  <si>
    <t>Pekerjaan</t>
  </si>
  <si>
    <t>Jenis Layanan yang diajukan (dapat memilih 3 jenis layanan)</t>
  </si>
  <si>
    <t>Apakah persyaratan pengajuan pelayanan yang ada pada Kantor Desa Mertasari telah mempermudah  Anda?</t>
  </si>
  <si>
    <t>Seberapa mudahkan prosedur pelayanan yang ada di Desa Mertasari untuk setiap pengajuan permohonan layanan?</t>
  </si>
  <si>
    <t>Seberapa cepat waktu yang dibutuhkan dalam proses layanan yang diberikan oleh petugas di Kantor Desa Mertasari?</t>
  </si>
  <si>
    <t>Menurut  Anda, berapa tarif/biaya layanan yang diterapkan atas layanan yang diberikan oleh Pemerintah Desa Mertasari?</t>
  </si>
  <si>
    <t>Bagaimana pendapat saudara tentang kesesuaian produk pelayanan antara yang tercantum dalam standar  hasil pelayanan dengan hasil yang diberikan?</t>
  </si>
  <si>
    <t>Bagaimana pendapat  Anda tentang kemampuan perangkat desa dalam memberikan penjelasan mengenai prosedur layanan?</t>
  </si>
  <si>
    <t>Bagaimana pendapat Anda tentang kesopanan dan keramahan perangkat desa dalam memberikan layanan?</t>
  </si>
  <si>
    <t>Menurut Anda, apakah telah tersedia sarana prasarana (komputer, jaringan internet dan lainnya) yang mendukung efektivitas dan efisiensi pelayanan di Pemerintah Desa Mertasari?</t>
  </si>
  <si>
    <t>Bagaimana pendapat  Anda tentang ketersediaan dan penanganan layanan pengaduan masyarakat?</t>
  </si>
  <si>
    <t>Bagaimana pendapat Saudara tentang perilaku Sikap kita terhadap seseorang yang menerima uang tambahan dari pasangan (suami/istri) di luar gaji/penghasilan yang biasa diterima, tanpa mempertanyakan...</t>
  </si>
  <si>
    <t>Bagaimana pendapat Saudara tentang perilaku Seorang Perangkat Desa menggunakan kendaraan dinas untuk keperluan keluarga / pribadi.?</t>
  </si>
  <si>
    <t>Bagaimana pendapat Saudara tentang perilaku Seseorang mengajak anggota keluarga dalam kampanye Pilkades/Pilkada/Pemilu demi mendapatkan lebih banyak imbalan (uang, barang, sembako, pulsa dll).?</t>
  </si>
  <si>
    <t>Bagaimana pendapat Saudara tentang perilaku Seseorang memanfaatkan hubungan keluarga yang mempunyai kewenangan agar dipermudah dalam pelayanan publik.?</t>
  </si>
  <si>
    <t>Bagaimana pendapat Saudara tentang perilaku Seseorang bergaya hidup mewah di luar dari kemampuan agar diakui/dianggap berada oleh masyarkat.?</t>
  </si>
  <si>
    <t>Bagaimana pendapat Saudara tentang perilaku Suatu keluarga memberi uang/barang/fasilitas yang lebih kepada Pejabat atau Perangkat Desa ketika melaksanakan hajatan (penikahan, khitanan, kematian dl...</t>
  </si>
  <si>
    <t>Bagaimana pendapat Saudara tentang perilaku Ketua RT / RW membantu calon Kepala Desa/Kepala Daerah/Legislatif untuk membagikan uang/barang/fasilitas kepada Masyarakat agar dipilih.?</t>
  </si>
  <si>
    <t>Bagaimana pendapat Saudara tentang perilaku Kelompok/Lembaga Masyarakat menerima sumbangan/bantuan/pemberian/hibah dari seseorang tanpa mempertanyakan asal usulnya.?</t>
  </si>
  <si>
    <t>Bagaimana pendapat Saudara tentang perilaku Ketua RT/RW/Kepala Desa mengusulkan warganya yang tidak sesuai kriteria untuk mendapatkan dana bantuan sosial.?</t>
  </si>
  <si>
    <t>Apakah Perangkat Desa Mertasari dalam memberikan pelayanan menerapkan prinsip berintegritas dan berperilaku sesuai etika?</t>
  </si>
  <si>
    <t>Apakah Anda pernah mengetahui adanya sosialisasi antikorupsi di Desa Mertasari?</t>
  </si>
  <si>
    <t>Apakah Anda bersedia memberikan contoh dalam mengimplementasikan 9 nilai antikorupsi dalam kehidupan sehari-hari?</t>
  </si>
  <si>
    <t>Apakah Anda mengetahui adanya adat istiadat / budaya yang mendorong upaya pencegahan korupsi di Desa Mertasari?</t>
  </si>
  <si>
    <t>Apakah Anda mengetahui peran Tokoh masyarakat, tokoh agama, tokoh adat, tokoh pemuda dan kaum perempuan dalam mendorong upaya pencegahan korupsi di Desa Mertasari?</t>
  </si>
  <si>
    <t>Apakah Anda mengetahui adanya Maklumat Pelayanan di Kantor Desa Mertasari?</t>
  </si>
  <si>
    <t>Apakah Anda sepakat dengan kalimat "Dengan ini, kami menyatakan sanggup menyelenggarakan pelayanan dengan sebaik-baiknya sesuai standar pelayanan yang telah ditetapkan, serta melakukan upaya perba...</t>
  </si>
  <si>
    <t>Apakah Anda mengetahui adanya Standar Pelayanan / SOP Pelayanan di Kantor Desa Mertasari?</t>
  </si>
  <si>
    <t>Darimanakah anda memperoleh informasi mengenai Standar Pelayanan Minimal (kesehatan, pendidikan, sosial, lingkungan, kependudukan, keuangan dan pelayanan lainnya)?</t>
  </si>
  <si>
    <t>Menurut Anda, apakah informasi mengenai Standar Pelayanan Minimal (kesehatan, pendidikan, sosial, lingkungan, kependudukan, keuangan dan pelayanan lainnya) telah tersedia dan dapat diakes?</t>
  </si>
  <si>
    <t>Media Pengaduan Masyarakat apa yang sering Anda gunakan untuk menyampaikan pengaduan kepada Pemerintah Desa Mertasari?</t>
  </si>
  <si>
    <t>Apakah Anda mengetahui informasi tentang Anggaran Pendapatan dan Belanja Desa Mertasari?</t>
  </si>
  <si>
    <t>Apakah Anda terlibat dan berpartisipasi dalam penyusunan Rencana Kerja Pemerintah (RKP) Desa Mertasari?</t>
  </si>
  <si>
    <t>Apakah Anda mengetahui keterlibatan lembaga desa dan masyarakat dalam kegiatan pembangunan di Desa Mertasari?</t>
  </si>
  <si>
    <t>Seberapa puas Anda dengan Pelayanan yang diberikan oleh Pemerintah Desa Mertasari?</t>
  </si>
  <si>
    <t>Saran dan Kritik untuk perbaikan layanan publik Pemerintah Desa Mertasari</t>
  </si>
  <si>
    <t>anonymous</t>
  </si>
  <si>
    <t>Laki-Laki</t>
  </si>
  <si>
    <t>36 - 55 Tahun</t>
  </si>
  <si>
    <t>SMA</t>
  </si>
  <si>
    <t>Lainnya</t>
  </si>
  <si>
    <t>Surat Pengantar;Surat Keterangan Domisili;Surat Keterangan Kehilangan;</t>
  </si>
  <si>
    <t>Sangat Mudah</t>
  </si>
  <si>
    <t>Cepat</t>
  </si>
  <si>
    <t>Gratis</t>
  </si>
  <si>
    <t>Sangat Sesuai</t>
  </si>
  <si>
    <t>Sangat Jelas</t>
  </si>
  <si>
    <t>Sangat Sopan dan Sangat Ramah</t>
  </si>
  <si>
    <t>Tersedia dan sangat mendukung</t>
  </si>
  <si>
    <t>Ada dan sudah dikelola dengan cukup baik</t>
  </si>
  <si>
    <t>Tidak Wajar</t>
  </si>
  <si>
    <t>Selalu</t>
  </si>
  <si>
    <t>Sering</t>
  </si>
  <si>
    <t>Bersedia</t>
  </si>
  <si>
    <t>Tahu</t>
  </si>
  <si>
    <t>Sangat Tahu</t>
  </si>
  <si>
    <t>Sangat Setuju</t>
  </si>
  <si>
    <t>Papan Pengumuman (Kantor Desa, Poskampling, Rumah Ketua RT dan tempat strategis lainnya)</t>
  </si>
  <si>
    <t>Tersedia dan dapat diakses</t>
  </si>
  <si>
    <t>WA/SMS</t>
  </si>
  <si>
    <t>Ikut berpartisipasi</t>
  </si>
  <si>
    <t>Yang sudah baik bertahankan dan tingkatkan</t>
  </si>
  <si>
    <t>Pegawai Swasta</t>
  </si>
  <si>
    <t>Surat Keterangan Izin Usaha;Surat Pengantar;Surat Keterangan Usaha;</t>
  </si>
  <si>
    <t>Mudah</t>
  </si>
  <si>
    <t>Sesuai</t>
  </si>
  <si>
    <t>Jelas</t>
  </si>
  <si>
    <t>Sopan dan Ramah</t>
  </si>
  <si>
    <t>Tersedia dan mendukung</t>
  </si>
  <si>
    <t>Ada tetapi belum dikelola dengan baik</t>
  </si>
  <si>
    <t>Cenderung Tidak Wajar</t>
  </si>
  <si>
    <t>Pernah</t>
  </si>
  <si>
    <t>Kurang Tahu</t>
  </si>
  <si>
    <t>Setuju</t>
  </si>
  <si>
    <t>Tingkatkan pelayanan terhadap masyarakat dan bersantun dalam pelayanan</t>
  </si>
  <si>
    <t>Diploma (D1/D2/D3)</t>
  </si>
  <si>
    <t>Surat Pengantar;Surat Keterangan Kematian;Lainnya;</t>
  </si>
  <si>
    <t>Wajar</t>
  </si>
  <si>
    <t>Cenderung Wajar</t>
  </si>
  <si>
    <t>Jarang</t>
  </si>
  <si>
    <t>Kotak Pengaduan</t>
  </si>
  <si>
    <t>Tingkat kan pelayanan kepada masyarakat dengan ramah</t>
  </si>
  <si>
    <t>17 - 35 Tahun</t>
  </si>
  <si>
    <t>Surat Pengantar;Surat Keterangan Belum Menikah;Surat Keterangan Nikah N1-N7;</t>
  </si>
  <si>
    <t>Ada dan sudah dikelola dengan sangat baik</t>
  </si>
  <si>
    <t>Sangat Sering</t>
  </si>
  <si>
    <t>Sudah baik</t>
  </si>
  <si>
    <t>TNI</t>
  </si>
  <si>
    <t>Lainnya;</t>
  </si>
  <si>
    <t>Kadang-Kadang</t>
  </si>
  <si>
    <t xml:space="preserve">Tingkatkan Pertahankan </t>
  </si>
  <si>
    <t>Perempuan</t>
  </si>
  <si>
    <t>SMP</t>
  </si>
  <si>
    <t>Website Desa / Media Sosial</t>
  </si>
  <si>
    <t>saran saya untuk website Desa Mertasari Kurang lengkap</t>
  </si>
  <si>
    <t>Petani</t>
  </si>
  <si>
    <t>Surat Pengantar;Surat Ketetangan Nikah;Surat Keterangan Usaha;</t>
  </si>
  <si>
    <t>Cukup tersedia tapi kurang mendukung</t>
  </si>
  <si>
    <t>Tidak Ikut</t>
  </si>
  <si>
    <t>.</t>
  </si>
  <si>
    <t>Surat Pengantar;</t>
  </si>
  <si>
    <t>Ikut terlibat dan berpartisipasi</t>
  </si>
  <si>
    <t xml:space="preserve">Layanan digitalisasi perlu ditingkatkan </t>
  </si>
  <si>
    <t>&gt; 55 Tahun</t>
  </si>
  <si>
    <t>D4/S1/S2</t>
  </si>
  <si>
    <t>Tingkatkan kemampuan personil perangkat desanya terutama penguasaan IT dengan pelatihan yang intensif agar kinerja  perangkat desa lebih baik lagi</t>
  </si>
  <si>
    <t>Surat Pengantar;Surat Keterangan Kepemilikan / Hak Milik;Surat Keterangan Jual Beli Tanah;</t>
  </si>
  <si>
    <t>Sangat Cepat</t>
  </si>
  <si>
    <t xml:space="preserve">Website sering di update.. </t>
  </si>
  <si>
    <t>Surat Keterangan Kehilangan;</t>
  </si>
  <si>
    <t>Sangat Bersedia</t>
  </si>
  <si>
    <t>Papan Pengumuman dan Media Sosial</t>
  </si>
  <si>
    <t>Tersedia tapi tidak dapat diakses</t>
  </si>
  <si>
    <t xml:space="preserve">Semoga semia pelayanan dan informasi di Desa mertasari kepada Masyarakat terus dan terus baik dan lebih baik.. </t>
  </si>
  <si>
    <t>Surat Pengantar;Surat Keterangan Kelahiran;Surat Keterangan Domisili;</t>
  </si>
  <si>
    <t>pertahankan pelayanan yg bagus</t>
  </si>
  <si>
    <t>ASN (PNS/PPPK)</t>
  </si>
  <si>
    <t>Surat Pengantar;Surat Keterangan Kematian;Surat Keterangan Kelahiran;</t>
  </si>
  <si>
    <t>pelayanan dimaksimalkan lagi</t>
  </si>
  <si>
    <t>Surat Keterangan Usaha;</t>
  </si>
  <si>
    <t xml:space="preserve">Tetap jaga keramahan dalam memberikan pelayanan ke pada masyarakat agar masyarakat merasa nyaman dan senang.  </t>
  </si>
  <si>
    <t xml:space="preserve">Kalau bisa diruang tunggu disediakan TV agar </t>
  </si>
  <si>
    <t>Pelayanan sudah baik..dan saya berharap semakin hari semakin baik</t>
  </si>
  <si>
    <t>pertahankan kinerja yang sudah baik kalau bisa ditingkatkan lagi</t>
  </si>
  <si>
    <t>Sekolah Dasar</t>
  </si>
  <si>
    <t>Surat Pengantar;Surat Keterangan Kehilangan;Surat Keterangan Izin Usaha;</t>
  </si>
  <si>
    <t>Drever</t>
  </si>
  <si>
    <t>Surat Pengantar;Surat Keterangan Belum Menikah;Surat Keterangan Domisili;</t>
  </si>
  <si>
    <t>Tidak Tahu</t>
  </si>
  <si>
    <t>Kurang Setuju</t>
  </si>
  <si>
    <t>Harus lebih di perbaiki lagi</t>
  </si>
  <si>
    <t>POLRI</t>
  </si>
  <si>
    <t>Tingkatkan pelayanan gratis kepada seluruh warga mertasari. Demi terwujudnya mertasari desa mandiri</t>
  </si>
  <si>
    <t>Surat Keterangan Kehilangan;Surat Keterangan Izin Usaha;Surat Ketetangan Nikah;</t>
  </si>
  <si>
    <t>Surat Ketetangan Nikah;Surat Keterangan Izin Usaha;Surat Keterangan Kehilangan;</t>
  </si>
  <si>
    <t>Sidah cukup baik</t>
  </si>
  <si>
    <t>Surat Pengantar;Surat Ketetangan Nikah;Surat Keterangan Pindah Penduduk;</t>
  </si>
  <si>
    <t>Cukup Mudah</t>
  </si>
  <si>
    <t>Ragu-Ragu</t>
  </si>
  <si>
    <t>Layanan publik sudah baik namun perlu diTingkatkan lagi</t>
  </si>
  <si>
    <t>Surat Keterangan Jual Beli Tanah;</t>
  </si>
  <si>
    <t>Tingkatkanpelayanan yang kurang baik</t>
  </si>
  <si>
    <t>jaga pelayanan yang sudah baik</t>
  </si>
  <si>
    <t>Surat Pengantar;Surat Keterangan Kehilangan;Surat Keterangan Usaha;</t>
  </si>
  <si>
    <t>Lanjutkan mertasri ku</t>
  </si>
  <si>
    <t>Surat Keterangan Domisili;Surat Pengantar;Surat Keterangan Status;</t>
  </si>
  <si>
    <t>Pelayanan digitalisasi dioptimalisasikan</t>
  </si>
  <si>
    <t>Surat Pengantar;Surat Keterangan Kelahiran;Surat Keterangan Tidak Mampu;</t>
  </si>
  <si>
    <t xml:space="preserve">Pelayanan kepada masyarakat untuk ditingkatkan </t>
  </si>
  <si>
    <t>Surat Pengantar;Surat Keterangan Izin Usaha;Surat Keterangan Kepemilikan / Hak Milik;</t>
  </si>
  <si>
    <t>Tingkatkan kinerja</t>
  </si>
  <si>
    <t>Surat Pengantar;Surat Keterangan Usaha;Lainnya;</t>
  </si>
  <si>
    <t xml:space="preserve">Layanan kepada masyarakat ditingkatkan terutama sikap perangkat kepada warga harus ramah </t>
  </si>
  <si>
    <t>Pedagang</t>
  </si>
  <si>
    <t>Perangkat desa untuk selalu ramah saat melayani warga</t>
  </si>
  <si>
    <t>👍👍👍👍</t>
  </si>
  <si>
    <t>Surat Keterangan Izin Usaha;</t>
  </si>
  <si>
    <t xml:space="preserve">udah baik </t>
  </si>
  <si>
    <t>Saran=agar selalu memberikan akses yg terbaik untuk warga2nya 
Kritik=tidak ada</t>
  </si>
  <si>
    <t>Surat Pengantar;Surat Keterangan Pindah Penduduk;Surat Keterangan Kelahiran;</t>
  </si>
  <si>
    <t>Membuat kamar madi..lagi</t>
  </si>
  <si>
    <t>Surat Keterangan Kelahiran;Surat Keterangan Kematian;Surat Keterangan Domisili;</t>
  </si>
  <si>
    <t xml:space="preserve">Pelayanan didesa sudah bagus cuma kalau buat KTP,KK,atau balik nama SPPT itu masih lama </t>
  </si>
  <si>
    <t>Surat Keterangan Usaha;Surat Keterangan Izin Tempat Usaha;Surat Pengantar;</t>
  </si>
  <si>
    <t>Tidak Bersedia</t>
  </si>
  <si>
    <t xml:space="preserve">Dana bantuan buat yg tidak mampu saja.. </t>
  </si>
  <si>
    <t>Website/Media Sosial</t>
  </si>
  <si>
    <t>Pelayanan sudah sangat baik</t>
  </si>
  <si>
    <t>Tidak ada saran dan kritik, karna pelayanan sudah cukup baik</t>
  </si>
  <si>
    <t>Surat Pengantar;Surat Ketetangan Nikah;Surat Keterangan Kelahiran;</t>
  </si>
  <si>
    <t>Pelayanan sudah cukup baik</t>
  </si>
  <si>
    <t>Surat Pengantar;Surat Keterangan Status;Surat Keterangan Tidak Mampu;</t>
  </si>
  <si>
    <t xml:space="preserve">Untuk lebih ditingkatkan lagi dan pertahanankan yang sudah baik </t>
  </si>
  <si>
    <t>Surat Pengantar;Surat Keterangan Jual Beli Tanah;Surat Keterangan Usaha;</t>
  </si>
  <si>
    <t>di pertahankan apa yg  sudah di laksanakan kinerja kepemerintahan desa mertasari selalu semangat</t>
  </si>
  <si>
    <t>Tidak ada saran dan kritik, semua pelayanan sudah sangat baik</t>
  </si>
  <si>
    <t xml:space="preserve">Lebih meningkatkan pelayanan </t>
  </si>
  <si>
    <t>Wirausaha</t>
  </si>
  <si>
    <t>Tidak Pernah</t>
  </si>
  <si>
    <t xml:space="preserve">Saran : menurut saya tidak ada saran karena desa mertasari kebanyakan sudah sesuai yang diharapkan . 
</t>
  </si>
  <si>
    <t>Surat Keterangan Kelahiran;</t>
  </si>
  <si>
    <t>Smoga pelayanannya lebih baik</t>
  </si>
  <si>
    <t>Lebih di disiplinkan</t>
  </si>
  <si>
    <t>Surat Keterangan Kelahiran;Surat Ketetangan Nikah;Surat Pengantar;</t>
  </si>
  <si>
    <t>Disarankan agar desa membuat saluran pengaduan khusus (Hotline Desa) yang aktif dan menugaskan staf khusus untuk menindaklanjuti keluhan warga dengan cepat.</t>
  </si>
  <si>
    <t>Surat Pengantar;Surat Keterangan Kehilangan;Lainnya;</t>
  </si>
  <si>
    <t>Akses jalan di perbaiki</t>
  </si>
  <si>
    <t>Surat Pengantar;Surat Keterangan Kelahiran;Surat Keterangan Pindah Penduduk;</t>
  </si>
  <si>
    <t xml:space="preserve">Semoga mertasari tambah maju lagi
</t>
  </si>
  <si>
    <t>Surat Keterangan Tidak Mampu;Surat Pengantar;Surat Keterangan Pindah Penduduk;</t>
  </si>
  <si>
    <t>Kurang Cepat</t>
  </si>
  <si>
    <t xml:space="preserve">Usulan bantuan bagi yang belum pernah mendapat bantuan terutama keluarga saya.inggat sila ke 5 pancasila. </t>
  </si>
  <si>
    <t>Surat Pengantar;Surat Keterangan Tidak Mampu;Surat Keterangan Status;</t>
  </si>
  <si>
    <t>Alhamdulillah desa Mertasari desa kebanggaan kami,mudah-mudahan jalan sekitar sawah bisa segera diperbaiki</t>
  </si>
  <si>
    <t>Surat Keterangan Tidak Mampu;Lainnya;</t>
  </si>
  <si>
    <t xml:space="preserve">mohon untuk masyarakat menegah ke bwh lebih d perhatikan...harus bs memilih dan memilah dgn bijak..🙏🙏🙏 terimaksh </t>
  </si>
  <si>
    <t>Surat Pengantar;Surat Keterangan Pindah Penduduk;Surat Keterangan Kematian;</t>
  </si>
  <si>
    <t>Sudah sangat baik kepala desa dan perangkat dalam menjalankan tugas di desa mertasari ini.</t>
  </si>
  <si>
    <t>Kedepannya agar dapat lebih baik lagi dari yang sudah baik</t>
  </si>
  <si>
    <t>Terus berbenah untuk menjadj lebih baik lagi</t>
  </si>
  <si>
    <t>Surat Keterangan Jual Beli Tanah;Surat Keterangan Kelahiran;Lainnya;</t>
  </si>
  <si>
    <t>Jika ada pemutihan membuat balik nama di spt dimohon jangan terlalu lama 🙏</t>
  </si>
  <si>
    <t>Surat Pengantar;Surat Keterangan Tidak Mampu;Lainnya;</t>
  </si>
  <si>
    <t>Tetap semangat jalankan tugas dan semoga mertasari tetap rukun,makmur,sejahtera.terima kasih atas perjuangan mu membangun desa mertasari menjadi lebih baik.kami masyarakat sangat puas dgn kinerja2ny.</t>
  </si>
  <si>
    <t>Surat Keterangan Pindah Penduduk;Surat Pengantar;Surat Keterangan Domisili;</t>
  </si>
  <si>
    <t>Lebih tingkatkan lagi kesejahteraan rakyatnya</t>
  </si>
  <si>
    <t>Surat Keterangan Kelahiran;Surat Keterangan Pindah Penduduk;Surat Ketetangan Nikah;</t>
  </si>
  <si>
    <t>oke</t>
  </si>
  <si>
    <t>Surat Pengantar;Surat Keterangan Kelahiran;Surat Keterangan Kematian;</t>
  </si>
  <si>
    <t>Tidak Sesuai</t>
  </si>
  <si>
    <t>Tidak Jelas</t>
  </si>
  <si>
    <t>Layananya sudah cukup baik</t>
  </si>
  <si>
    <t>Surat Keterangan Kelahiran;Surat Pengantar;Surat Keterangan Izin Usaha;</t>
  </si>
  <si>
    <t xml:space="preserve">Pelayanan sudah baik, tingkatkan dan teruskan
</t>
  </si>
  <si>
    <t>Surat Pengantar;Surat Keterangan Kepemilikan / Hak Milik;Surat Keterangan Ahli Waris;</t>
  </si>
  <si>
    <t xml:space="preserve">KAUM DHUAFA HRS LBH DI PERHATIKAN DR SEGI KESEHATAN DAN FINANSIALNYA </t>
  </si>
  <si>
    <t>Surat Pengantar;Surat Keterangan Izin Usaha;Lainnya;</t>
  </si>
  <si>
    <t>Pemerintah desa mertasari kedepanya tetap menjadi pelopor desa anti korupsi</t>
  </si>
  <si>
    <t>Tingkatkan pelayanan yg kurang baik</t>
  </si>
  <si>
    <t>Murah</t>
  </si>
  <si>
    <t>Lanjutkan untuk menjadi lebih baik lagi</t>
  </si>
  <si>
    <t>Surat Pengantar;Surat Keterangan Kehilangan;Surat Keterangan Kelahiran;</t>
  </si>
  <si>
    <t>Terus berusaha untuk berbenah</t>
  </si>
  <si>
    <t>Surat Pengantar;Surat Keterangan Kehilangan;Surat Keterangan Tidak Mampu;</t>
  </si>
  <si>
    <t>harus lebih baik lagi dalam pelayanan kepada masyarakat dan untuk bantuan sosial agar harus tepat sasaran terimakasih.</t>
  </si>
  <si>
    <t>Surat Keterangan Tidak Mampu;Surat Pengantar;Surat Keterangan Kelahiran;</t>
  </si>
  <si>
    <t>Kinerja sudah bagus dan baik. Mohon di pertahankan👍</t>
  </si>
  <si>
    <t>Surat Keterangan Kematian;Surat Keterangan Izin Usaha;Surat Keterangan Tidak Mampu;</t>
  </si>
  <si>
    <t>Sdh bagus</t>
  </si>
  <si>
    <t>Tidak Sekolah/Tidak Tamat</t>
  </si>
  <si>
    <t>Tidak ada kritik apapun semuanya sudah baik terimakasih</t>
  </si>
  <si>
    <t>Surat Pengantar;Surat Keterangan Kelahiran;</t>
  </si>
  <si>
    <t>pelayanan cukup cepat, dan tidak ribet</t>
  </si>
  <si>
    <t>Surat Pengantar;Surat Keterangan Nikah N1-N7;Surat Keterangan Usaha;</t>
  </si>
  <si>
    <t>bagus</t>
  </si>
  <si>
    <t>Surat Pengantar;Surat Keterangan Izin Usaha;Surat Keterangan Usaha;</t>
  </si>
  <si>
    <t>Puas dengan adanya anti korupsi</t>
  </si>
  <si>
    <t>Semoga kedepannya bisa lebih baik lagi</t>
  </si>
  <si>
    <t xml:space="preserve">terbuka soal standar pelayanan masyarakat minimal kesehatan , pendidikan , keuangan dll terkadang masyarakat kurang tahu 
terbuka soal keluar masuknya dana desa untuk kemajuan desa .
</t>
  </si>
  <si>
    <t>Surat Ketetangan Nikah;Surat Pengantar;Surat Keterangan Status;</t>
  </si>
  <si>
    <t>sangat bagus</t>
  </si>
  <si>
    <t>Semoga makin maju ,jaya desa mertasari tercinta</t>
  </si>
  <si>
    <t>Surat Pengantar;Surat Keterangan Kelahiran;Surat Keterangan Izin Usaha;</t>
  </si>
  <si>
    <t>Tetep berikan layanan yang terbaik untuk warga🙏</t>
  </si>
  <si>
    <t>Surat Keterangan Domisili;Surat Keterangan Status;Surat Keterangan Nikah N1-N7;</t>
  </si>
  <si>
    <t xml:space="preserve">Semoga  kinerja semua perangkat desa  lebih baik dan ramah  pastynya menjunjung nilai2 norma yg berlaku di undng2   terimakasih </t>
  </si>
  <si>
    <t>Surat Pengantar;Surat Keterangan Ahli Waris;Surat Keterangan Izin Keramaian;</t>
  </si>
  <si>
    <t>akurasi,analisa dan percepatan pelayanan dapat lebih ditingkatkan</t>
  </si>
  <si>
    <t>Surat Pengantar;Surat Keterangan Izin Usaha;Surat Keterangan Kelahiran;</t>
  </si>
  <si>
    <t>Pelayan lebih di tingkatkan lg</t>
  </si>
  <si>
    <t>Surat Pengantar;Surat Keterangan Kelahiran;Surat Keterangan Kehilangan;</t>
  </si>
  <si>
    <t>Pelayanan lebih di tingkatkan lagi</t>
  </si>
  <si>
    <t xml:space="preserve">Tidak ada </t>
  </si>
  <si>
    <t>Surat Keterangan Usaha;Surat Pengantar;Surat Keterangan Kelahiran;</t>
  </si>
  <si>
    <t xml:space="preserve">Semoga kedepannya desa mertasari terus maju dan  tetap jaya ,
</t>
  </si>
  <si>
    <t>Surat Keterangan Tidak Mampu;Surat Keterangan Kelahiran;Surat Pengantar;</t>
  </si>
  <si>
    <t>Pertahankan yg telah terlaksana tp sebisa mungkin lebih baik lg dr sebelumnya</t>
  </si>
  <si>
    <t xml:space="preserve">Pertahankan pelayanan yg sudah baik.. Kedisiplinan di tingkatkan </t>
  </si>
  <si>
    <t xml:space="preserve">Tingkatkan salam, senyum, sapa dalam bermasyarakat </t>
  </si>
  <si>
    <t>Surat Pengantar;Surat Keterangan Domisili;Surat Keterangan Izin Usaha;</t>
  </si>
  <si>
    <t>Maksimalkan pembangunan insfrastruktur</t>
  </si>
  <si>
    <t>Surat Pengantar;Lainnya;Surat Keterangan Usaha;</t>
  </si>
  <si>
    <t xml:space="preserve">Pelayanan ditingkatkan </t>
  </si>
  <si>
    <t>Perbaiki dalam setiap pelayanan</t>
  </si>
  <si>
    <t>Surat Keterangan Kehilangan;Surat Pengantar;</t>
  </si>
  <si>
    <t>Lalnjutkan yg sudah baik</t>
  </si>
  <si>
    <t>Surat Pengantar;Surat Ketetangan Nikah;Surat Keterangan Kehilangan;</t>
  </si>
  <si>
    <t>Selalu baik dan semoga lebih baik</t>
  </si>
  <si>
    <t>Surat Keterangan Kematian;</t>
  </si>
  <si>
    <t xml:space="preserve">Semoga semua bentuk pelayanan publik untuk masyarakat selalu bertambah mudah dan semakin baik  </t>
  </si>
  <si>
    <t>Surat Pengantar;Surat Keterangan Izin Keramaian;Surat Keterangan Jual Beli Tanah;</t>
  </si>
  <si>
    <t>Sydah baik dan tinggktkan playaan untuk lbih baik</t>
  </si>
  <si>
    <t>ditungkatkan lagi kinerja</t>
  </si>
  <si>
    <t>Surat Keterangan Kelahiran;Surat Pengantar;</t>
  </si>
  <si>
    <t>Lanjutkan sodara2 perangkat desa mertasari</t>
  </si>
  <si>
    <t>Surat Keterangan Status;</t>
  </si>
  <si>
    <t xml:space="preserve">Tingkatkan kinerja yg kurang </t>
  </si>
  <si>
    <t>Surat Keterangan Jual Beli Tanah;Surat Keterangan Ahli Waris;Surat Keterangan Izin Keramaian;</t>
  </si>
  <si>
    <t xml:space="preserve">Tingkatkan pelayanan yg kurang baik
</t>
  </si>
  <si>
    <t>sangat baik</t>
  </si>
  <si>
    <t>Surat Pengantar;Surat Keterangan Domisili;Surat Keterangan Usaha;</t>
  </si>
  <si>
    <t>🫰</t>
  </si>
  <si>
    <t>Surat Keterangan Kepemilikan / Hak Milik;</t>
  </si>
  <si>
    <t xml:space="preserve">Tolong pemerintah desa menegur perangkat yg sering bolos </t>
  </si>
  <si>
    <t>baik dan sopan</t>
  </si>
  <si>
    <t>Sudah baik dan tingkatkan mnjadi lebih baik</t>
  </si>
  <si>
    <t>Surat Keterangan Domisili;</t>
  </si>
  <si>
    <t>Semoga Desa Mertasari akan bertambah mandiri dan maju</t>
  </si>
  <si>
    <t>Maju terus mertasariku</t>
  </si>
  <si>
    <t>Surat Pengantar;Surat Keterangan Izin Usaha;Surat Keterangan Izin Tempat Usaha;</t>
  </si>
  <si>
    <t>baik dan terencana</t>
  </si>
  <si>
    <t>Mertasari makin maju</t>
  </si>
  <si>
    <t>kekompakan selalu dijaga</t>
  </si>
  <si>
    <t>Semoga semua perangakat desa mertasari selalu diberi kemudahan dan kesehatan</t>
  </si>
  <si>
    <t>Surat Pengantar;Surat Keterangan Kepemilikan / Hak Milik;Surat Keterangan Izin Usaha;</t>
  </si>
  <si>
    <t>Tingkatkan yrs pelayanan kpda masyarakat</t>
  </si>
  <si>
    <t>Surat Keterangan Kelahiran;Surat Keterangan Kehilangan;</t>
  </si>
  <si>
    <t>lebih baik lagi dalam hal pembangunan</t>
  </si>
  <si>
    <t>Srmoga perangkat Desa Mertasari selalu semangat dan amanah dalam mengabdi untuk masyarakat</t>
  </si>
  <si>
    <t>Tingkatkan lagi kualitas layanan untuk masyarakat</t>
  </si>
  <si>
    <t>Tingkatkan kualitas yang lebih baik lagi</t>
  </si>
  <si>
    <t>Tingkatkan pelayanan yang sudah baik</t>
  </si>
  <si>
    <t>Surat Pengantar;Surat Keterangan Kehilangan;</t>
  </si>
  <si>
    <t>pelayanan baik dan cepat</t>
  </si>
  <si>
    <t>Siap mendukung utk kemajuan desa tercintaku</t>
  </si>
  <si>
    <t xml:space="preserve">Untuk pelayanan yang masih kurang baik mohon lebih di tingkatkan lagi </t>
  </si>
  <si>
    <t>Pelayanan pembuatan KK dan KTP lebih di percepat</t>
  </si>
  <si>
    <t>Surat Pengantar;Surat Keterangan Ahli Waris;Surat Keterangan Tidak Mampu;</t>
  </si>
  <si>
    <t>semoga dapat ditingkatkan lagi</t>
  </si>
  <si>
    <t>&lt; 17 Tahun</t>
  </si>
  <si>
    <t>Surat Pengantar;Surat Keterangan Domisili;Surat Keterangan Belum Menikah;</t>
  </si>
  <si>
    <t>Sudah baik dan tingkatkan mnjadi lbih baik</t>
  </si>
  <si>
    <t>Maju terus semangat</t>
  </si>
  <si>
    <t>Okey</t>
  </si>
  <si>
    <t>baaik dan semoga dapat ditingkatkan lagi tentang penerapan desa antikorupsi</t>
  </si>
  <si>
    <t>Sehat sehat sehat semuanya</t>
  </si>
  <si>
    <t>baik</t>
  </si>
  <si>
    <t>Surat Pengantar;Surat Keterangan Izin Usaha;Surat Keterangan Izin Keramaian;</t>
  </si>
  <si>
    <t>baik dan mohon untuk fasilitas bisa ditingkatkan lagi</t>
  </si>
  <si>
    <t>Semoga desa mertasari menjadi desa yang lebih baik dari segala hal</t>
  </si>
  <si>
    <t>baik dan cepat apalagi jika pelayanan di kantor bisa ditingkatkan lagi</t>
  </si>
  <si>
    <t>Surat Keterangan Pindah Penduduk;Surat Keterangan Ahli Waris;</t>
  </si>
  <si>
    <t>Kurang Jelas</t>
  </si>
  <si>
    <t>OK</t>
  </si>
  <si>
    <t>Surat Pengantar;Lainnya;</t>
  </si>
  <si>
    <t>Semangat</t>
  </si>
  <si>
    <t>bsik</t>
  </si>
  <si>
    <t xml:space="preserve">Warga ingin pembagian bantuan merata </t>
  </si>
  <si>
    <t>Surat Pengantar;Surat Keterangan Pindah Penduduk;Surat Keterangan Kehilangan;</t>
  </si>
  <si>
    <t>Sudah baik dan tingkatkan menjadi lebih baik</t>
  </si>
  <si>
    <t>Surat Keterangan Pindah Penduduk;</t>
  </si>
  <si>
    <t>Mohon di perbaiki lebih baik lagi semua pelayanan agar menjadi yang terbaik</t>
  </si>
  <si>
    <t>Surat Ketetangan Nikah;Surat Keterangan Kelahiran;Surat Keterangan Izin Usaha;</t>
  </si>
  <si>
    <t>Semoga maju dan sukses selalu</t>
  </si>
  <si>
    <t>Surat Pengantar;Surat Keterangan Kehilangan;Surat Keterangan Jual Beli Tanah;</t>
  </si>
  <si>
    <t>baik dan semoga bisa menjadi percontohan yang lebih baik lagi</t>
  </si>
  <si>
    <t>Surat Pengantar;Surat Keterangan Usaha;Surat Keterangan Izin Tempat Usaha;</t>
  </si>
  <si>
    <t>Pelayanan supaya ditingkatkan</t>
  </si>
  <si>
    <t>Menyala mertasariku</t>
  </si>
  <si>
    <t>Semoga mertasari tetap menjadi yang terbaik</t>
  </si>
  <si>
    <t>baik dan bagus</t>
  </si>
  <si>
    <t>Surat Pengantar;Surat Keterangan Tidak Mampu;Surat Keterangan Nikah N1-N7;</t>
  </si>
  <si>
    <t>menjadikan desa mertasari menjadi percontohan desa antikorupsi adalah hal sangat baik dan sangat mendukung program tersebut</t>
  </si>
  <si>
    <t>Jos</t>
  </si>
  <si>
    <t>Surat Pengantar;Surat Keterangan Usaha;</t>
  </si>
  <si>
    <t>bagus dan semoga fasilitas umum lebih banyak lagi</t>
  </si>
  <si>
    <t>tingkatkan lagi</t>
  </si>
  <si>
    <t>Surat Pengantar;Surat Keterangan Kepemilikan / Hak Milik;Surat Keterangan Kehilangan;</t>
  </si>
  <si>
    <t>Alhamdulillah pelayanan di desa mertasari suadah baik</t>
  </si>
  <si>
    <t>Tambah lagi pelayanannya agar lebih baik</t>
  </si>
  <si>
    <t>selalu dipertahankan</t>
  </si>
  <si>
    <t>Surat Pengantar;Surat Keterangan Domisili;</t>
  </si>
  <si>
    <t>baik dan cepat</t>
  </si>
  <si>
    <t>Surat Keterangan Ahli Waris;</t>
  </si>
  <si>
    <t>Berikan yang terbaik</t>
  </si>
  <si>
    <t>baik dan cepat, semoga pelayanan lebih baik lagi</t>
  </si>
  <si>
    <t xml:space="preserve">Maju terus </t>
  </si>
  <si>
    <t>semoga sarana dan prasarana menambah dan jadi lebih baik</t>
  </si>
  <si>
    <t>Mohon untuk pelayanan publik lebih di perbaiki lagi dari yang sudah baik</t>
  </si>
  <si>
    <t>sudah bagus pelayanan perangkat desa</t>
  </si>
  <si>
    <t>Surat Pengantar;Surat Keterangan Belum Menikah;</t>
  </si>
  <si>
    <t>Mantap</t>
  </si>
  <si>
    <t>Surat Pengantar;Surat Keterangan Izin Usaha;Surat Keterangan Kehilangan;</t>
  </si>
  <si>
    <t>SANGAT BAIK DAN BISA MENJADI LEBIH BAIK LAGI JIKA SELALU MENJADI PERCONTOHAN DESA ANTI KORUPSI</t>
  </si>
  <si>
    <t>Surat Pengantar;Surat Keterangan Status;Surat Keterangan Kehilangan;</t>
  </si>
  <si>
    <t>Tingkatkan pelayanan agar lbih baik</t>
  </si>
  <si>
    <t>Surat Pengantar;Surat Keterangan Kelahiran;Surat Keterangan Status;</t>
  </si>
  <si>
    <t>Pelayanan di tingkakan lagi</t>
  </si>
  <si>
    <t>Surat Pengantar;Surat Keterangan Ahli Waris;Surat Keterangan Usaha;</t>
  </si>
  <si>
    <t>baik dan maju jika selalu menjadi percontohan desa antikorupsi</t>
  </si>
  <si>
    <t>Maju terus</t>
  </si>
  <si>
    <t xml:space="preserve">Tingkatkan yang kurang </t>
  </si>
  <si>
    <t>Untuk peyanana sudah baik</t>
  </si>
  <si>
    <t>sudah baik</t>
  </si>
  <si>
    <t>Untuk perangakat desa agr tetap disiplin waktu , selalu ramah dan tersenyum pd warganya..cayo cayo.</t>
  </si>
  <si>
    <t>pelayanan udah baik</t>
  </si>
  <si>
    <t>Surat Pengantar;Surat Keterangan Kepemilikan / Hak Milik;Lainnya;</t>
  </si>
  <si>
    <t>-</t>
  </si>
  <si>
    <t>Tingkatkan pelayanan agar lebih baik lagi</t>
  </si>
  <si>
    <t>udah baik</t>
  </si>
  <si>
    <t>Sangat baik</t>
  </si>
  <si>
    <t>Surat Keterangan Kematian;Surat Keterangan Usaha;Lainnya;</t>
  </si>
  <si>
    <t>Lebih disiplin dan giat lg untuk memajukan desa mertasari biar lebih baik dan baik lagi</t>
  </si>
  <si>
    <t>Surat Pengantar;Surat Keterangan Domisili;Surat Keterangan Status;</t>
  </si>
  <si>
    <t>Surat Keterangan Status;Surat Keterangan Kehilangan;Surat Keterangan Izin Usaha;</t>
  </si>
  <si>
    <t xml:space="preserve">Semoga k depannya jauh lebih baik lagi </t>
  </si>
  <si>
    <t>Mohon pelayanan kepada masyarakat terutama sikap perangkat untuk lebih ramah</t>
  </si>
  <si>
    <t>Surat Pengantar;Surat Keterangan Kematian;Surat Keterangan Usaha;</t>
  </si>
  <si>
    <t xml:space="preserve">Perangkat desa untuk ditingkatkan pelayanan kepada masyarakat </t>
  </si>
  <si>
    <t>Pelayanan cukup memuaskan</t>
  </si>
  <si>
    <t>Surat Pengantar;Surat Keterangan Belum Menikah;Lainnya;</t>
  </si>
  <si>
    <t xml:space="preserve">Apabila ada warga perangkat untuk lebih murah senyum </t>
  </si>
  <si>
    <t>Semiga mertasari semakin maju</t>
  </si>
  <si>
    <t>Surat Pengantar;Lainnya;Surat Keterangan Belum Menikah;</t>
  </si>
  <si>
    <t xml:space="preserve">Pelayanan kepada masyarakat sudah baik </t>
  </si>
  <si>
    <t>Surat Keterangan Kehilangan;Surat Keterangan Izin Keramaian;Surat Keterangan Usaha;</t>
  </si>
  <si>
    <t>pertahankan dan tingkatkan dalam. pelayanan kepada masyarakat</t>
  </si>
  <si>
    <t>Pemerintah desa harusnya sering memberikan sosialisasi sampai ke RT, karena sbg warga sering tdk tahu ttg layanan di desa</t>
  </si>
  <si>
    <t>Surat Pengantar;Surat Keterangan Tidak Mampu;Surat Keterangan Kelahiran;</t>
  </si>
  <si>
    <t>bangun desa mertassri supaya lebih tertib dan teratur.tingkatkan lagi kinerja pamong desa mertassri biar lebih baik.</t>
  </si>
  <si>
    <t xml:space="preserve">Tingkatkan Pelayanan dan Profesionalisme </t>
  </si>
  <si>
    <t>Surat Pengantar;Lainnya;Surat Keterangan Kehilangan;</t>
  </si>
  <si>
    <t>Perangkat desa agar lebih ramah kepada warga yg minta pengantar</t>
  </si>
  <si>
    <t xml:space="preserve">Pelayanan kepada masyarakat ditingkatkan </t>
  </si>
  <si>
    <t>Surat Pengantar;Lainnya;Surat Keterangan Domisili;</t>
  </si>
  <si>
    <t xml:space="preserve">Perangkat untuk lebih ramah kepada warga yang minta surat keterangan </t>
  </si>
  <si>
    <t>Mertasari lebih maju</t>
  </si>
  <si>
    <t>Selalu utamakan pelayanan kepada masyarakat</t>
  </si>
  <si>
    <t xml:space="preserve">Tingkatkan dan Pertahanankan
</t>
  </si>
  <si>
    <t xml:space="preserve">Perbaiki  informasi biar warga masyarakat tahu dan paham adanya  informasi pemerintahan desa </t>
  </si>
  <si>
    <t>Surat Pengantar;Surat Keterangan Kelahiran;Lainnya;</t>
  </si>
  <si>
    <t xml:space="preserve">Semoga selalu dimudahkan dalam melayani masyarakat </t>
  </si>
  <si>
    <t>Perbaiki terus pelayanan agar masyarakat benar-benar puas terhadap layanan di desa mertasari</t>
  </si>
  <si>
    <t>cukup</t>
  </si>
  <si>
    <t>cukup baik</t>
  </si>
  <si>
    <t>Surat Keterangan Kelahiran;Surat Pengantar;Lainnya;</t>
  </si>
  <si>
    <t>lebih ditingkatkan lagi dan sejauh ini sudah baik</t>
  </si>
  <si>
    <t>pelayanan sudah baik saran lebih sat set lagi</t>
  </si>
  <si>
    <t>Surat Pengantar;Surat Ketetangan Nikah;Surat Keterangan Status;</t>
  </si>
  <si>
    <t>Smoga pelayanan pemdes akan lebih baik lagi</t>
  </si>
  <si>
    <t>jalan menuju danarum bisa di perbaiki</t>
  </si>
  <si>
    <t>Surat Keterangan Kelahiran;Surat Keterangan Kematian;Surat Ketetangan Nikah;</t>
  </si>
  <si>
    <t xml:space="preserve">tingkatkan pelayanan </t>
  </si>
  <si>
    <t>Surat Ketetangan Nikah;</t>
  </si>
  <si>
    <t>Surat Keterangan Izin Usaha;Surat Keterangan Izin Tempat Usaha;</t>
  </si>
  <si>
    <t>Surat Ketetangan Nikah;Surat Keterangan Pindah Penduduk;Surat Keterangan Izin Usaha;</t>
  </si>
  <si>
    <t>Surat Pengantar;Surat Keterangan Tidak Mampu;Surat Keterangan Domisili;</t>
  </si>
  <si>
    <t>Tidak Tersedia</t>
  </si>
  <si>
    <t>Surat Pengantar;Surat Keterangan Kelahiran;Surat Keterangan Usaha;</t>
  </si>
  <si>
    <t>pelayanan sudah baik mohon untuk ditingkatkan lagi</t>
  </si>
  <si>
    <t>Surat Keterangan Kepemilikan / Hak Milik;Surat Keterangan Kematian;Surat Keterangan Ahli Waris;</t>
  </si>
  <si>
    <t>pelayanan baik</t>
  </si>
  <si>
    <t>Surat Keterangan Kematian;Surat Keterangan Pindah Penduduk;Surat Keterangan Kehilangan;</t>
  </si>
  <si>
    <t>Surat Keterangan Status;Surat Keterangan Pindah Penduduk;Surat Keterangan Kepemilikan / Hak Milik;</t>
  </si>
  <si>
    <t>Surat Keterangan Kelahiran;Surat Keterangan Domisili;Surat Keterangan Tidak Mampu;</t>
  </si>
  <si>
    <t>Surat Keterangan Kelahiran;Surat Keterangan Pindah Penduduk;Surat Keterangan Kehilangan;</t>
  </si>
  <si>
    <t>Surat Keterangan Domisili;Surat Ketetangan Nikah;Surat Keterangan Kepemilikan / Hak Milik;</t>
  </si>
  <si>
    <t>Surat Keterangan Kehilangan;Surat Keterangan Domisili;Surat Keterangan Kematian;</t>
  </si>
  <si>
    <t>Surat Keterangan Kematian;Surat Keterangan Domisili;Surat Ketetangan Nikah;</t>
  </si>
  <si>
    <t>Surat Keterangan Pindah Penduduk;Surat Keterangan Status;</t>
  </si>
  <si>
    <t>Cukup Mahal</t>
  </si>
  <si>
    <t>Surat Keterangan Izin Tempat Usaha;Surat Keterangan Izin Usaha;Surat Keterangan Usaha;</t>
  </si>
  <si>
    <t>Surat Keterangan Tidak Mampu;</t>
  </si>
  <si>
    <t>Surat Keterangan Kepemilikan / Hak Milik;Surat Keterangan Domisili;Surat Keterangan Ahli Waris;</t>
  </si>
  <si>
    <t>Surat Keterangan Izin Usaha;Surat Keterangan Usaha;Surat Keterangan Izin Tempat Usaha;</t>
  </si>
  <si>
    <t>Surat Keterangan Usaha;Surat Keterangan Izin Tempat Usaha;</t>
  </si>
  <si>
    <t>Surat Keterangan Domisili;Surat Keterangan Pindah Penduduk;</t>
  </si>
  <si>
    <t>Surat Keterangan Domisili;Surat Keterangan Kematian;</t>
  </si>
  <si>
    <t>Surat Keterangan Izin Usaha;Surat Keterangan Izin Tempat Usaha;Lainnya;</t>
  </si>
  <si>
    <t>Surat Keterangan Izin Usaha;Surat Keterangan Izin Tempat Usaha;Surat Keterangan Usaha;</t>
  </si>
  <si>
    <t>LAPORAN SURVEI MASYARAKAT DESA MERTASARI</t>
  </si>
  <si>
    <t>255 respons | 30 Juni–19 Agustus 2026 | PermenPANRB Nomor 14 Tahun 2017</t>
  </si>
  <si>
    <t>ISI LAPORAN</t>
  </si>
  <si>
    <t>Ringkasan</t>
  </si>
  <si>
    <t>Dashboard, profil, rekomendasi, dan temuan prioritas.</t>
  </si>
  <si>
    <t>SKM Layanan</t>
  </si>
  <si>
    <t>Penghitungan 9 unsur layanan L–T.</t>
  </si>
  <si>
    <t>Antikorupsi</t>
  </si>
  <si>
    <t>Analisis perilaku antikorupsi U–AC.</t>
  </si>
  <si>
    <t>Pemahaman</t>
  </si>
  <si>
    <t>Identifikasi pemahaman umum AD–AQ.</t>
  </si>
  <si>
    <t>Rencana Aksi</t>
  </si>
  <si>
    <t>Program, waktu, PIC, dan indikator keberhasilan.</t>
  </si>
  <si>
    <t>Respons Survei</t>
  </si>
  <si>
    <t>255 jawaban sumber.</t>
  </si>
  <si>
    <t>METODE DAN SUMBER</t>
  </si>
  <si>
    <t>SKM layanan menggunakan skala 1–4, bobot sama untuk 9 unsur, dan konversi ×25. Antikorupsi dan pemahaman umum merupakan analisis komplementer; indikator kanal informasi/pengaduan dianalisis sebagai frekuensi. Sumber resmi: https://peraturan.bpk.go.id/Details/132600/permen-pan-rb-no-14-tahun-2017 dan JDIH Kementerian PANRB.</t>
  </si>
  <si>
    <t>SURVEI KEPUASAN MASYARAKAT — LAYANAN</t>
  </si>
  <si>
    <t>9 unsur L–T | Bobot sama | Konversi NRR × 25 | N=255</t>
  </si>
  <si>
    <t>HASIL PER UNSUR</t>
  </si>
  <si>
    <t>No</t>
  </si>
  <si>
    <t>Unsur</t>
  </si>
  <si>
    <t>Kolom</t>
  </si>
  <si>
    <t>N</t>
  </si>
  <si>
    <t>NRR 1–4</t>
  </si>
  <si>
    <t>Nilai 25–100</t>
  </si>
  <si>
    <t>Kinerja</t>
  </si>
  <si>
    <t>Peringkat</t>
  </si>
  <si>
    <t>Arah</t>
  </si>
  <si>
    <t>Catatan</t>
  </si>
  <si>
    <t>Persyaratan</t>
  </si>
  <si>
    <t>L</t>
  </si>
  <si>
    <t>Prosedur</t>
  </si>
  <si>
    <t>M</t>
  </si>
  <si>
    <t>Waktu Penyelesaian</t>
  </si>
  <si>
    <t>Biaya/Tarif</t>
  </si>
  <si>
    <t>O</t>
  </si>
  <si>
    <t>Produk Spesifikasi</t>
  </si>
  <si>
    <t>P</t>
  </si>
  <si>
    <t>Kompetensi Pelaksana</t>
  </si>
  <si>
    <t>Q</t>
  </si>
  <si>
    <t>Perilaku Pelaksana</t>
  </si>
  <si>
    <t>R</t>
  </si>
  <si>
    <t>Sarana Prasarana</t>
  </si>
  <si>
    <t>S</t>
  </si>
  <si>
    <t>Penanganan Pengaduan</t>
  </si>
  <si>
    <t>T</t>
  </si>
  <si>
    <t>IKM UNIT PELAYANAN</t>
  </si>
  <si>
    <t>Interval: 25,00–64,99 D/Tidak Baik; 65,00–76,60 C/Kurang Baik; 76,61–88,30 B/Baik; 88,31–100 A/Sangat Baik.</t>
  </si>
  <si>
    <t>PERSEPSI PERILAKU ANTIKORUPSI</t>
  </si>
  <si>
    <t>U–AC | Skor tinggi = penolakan lebih tegas | Indeks komplementer</t>
  </si>
  <si>
    <t>HASIL 9 INDIKATOR</t>
  </si>
  <si>
    <t>Indikator ringkas</t>
  </si>
  <si>
    <t>Indeks</t>
  </si>
  <si>
    <t>Kategori</t>
  </si>
  <si>
    <t>Pendapatan tambahan tak jelas</t>
  </si>
  <si>
    <t>U</t>
  </si>
  <si>
    <t>Fokus edukasi</t>
  </si>
  <si>
    <t>Kendaraan dinas untuk pribadi</t>
  </si>
  <si>
    <t>V</t>
  </si>
  <si>
    <t>Imbalan politik via keluarga</t>
  </si>
  <si>
    <t>W</t>
  </si>
  <si>
    <t>Pemeliharaan</t>
  </si>
  <si>
    <t>Nepotisme pelayanan</t>
  </si>
  <si>
    <t>X</t>
  </si>
  <si>
    <t>Gaya hidup di luar kemampuan</t>
  </si>
  <si>
    <t>Y</t>
  </si>
  <si>
    <t>Pemberian berlebih saat hajatan</t>
  </si>
  <si>
    <t>Z</t>
  </si>
  <si>
    <t>RT/RW membagikan imbalan</t>
  </si>
  <si>
    <t>Bantuan tanpa cek asal-usul</t>
  </si>
  <si>
    <t>Bansos tidak sesuai kriteria</t>
  </si>
  <si>
    <t>INDEKS PERSEPSI ANTIKORUPSI</t>
  </si>
  <si>
    <t>Bukan unsur baku IKM</t>
  </si>
  <si>
    <t>IDENTIFIKASI PEMAHAMAN UMUM MASYARAKAT</t>
  </si>
  <si>
    <t>PEMAHAMAN DAN PARTISIPASI</t>
  </si>
  <si>
    <t>Indikator</t>
  </si>
  <si>
    <t>Status</t>
  </si>
  <si>
    <t>Integritas perangkat</t>
  </si>
  <si>
    <t>AD</t>
  </si>
  <si>
    <t>Sosialisasi antikorupsi</t>
  </si>
  <si>
    <t>AE</t>
  </si>
  <si>
    <t>AF</t>
  </si>
  <si>
    <t>Budaya pencegahan korupsi</t>
  </si>
  <si>
    <t>AG</t>
  </si>
  <si>
    <t>Peran tokoh masyarakat</t>
  </si>
  <si>
    <t>AH</t>
  </si>
  <si>
    <t>Maklumat pelayanan</t>
  </si>
  <si>
    <t>AI</t>
  </si>
  <si>
    <t>Dukungan maklumat</t>
  </si>
  <si>
    <t>AJ</t>
  </si>
  <si>
    <t>Pengetahuan SOP</t>
  </si>
  <si>
    <t>AK</t>
  </si>
  <si>
    <t>Akses informasi SPM</t>
  </si>
  <si>
    <t>AM</t>
  </si>
  <si>
    <t>Pengetahuan APBDes</t>
  </si>
  <si>
    <t>AO</t>
  </si>
  <si>
    <t>Partisipasi RKP Desa</t>
  </si>
  <si>
    <t>AP</t>
  </si>
  <si>
    <t>Keterlibatan pembangunan</t>
  </si>
  <si>
    <t>AQ</t>
  </si>
  <si>
    <t>INDEKS PEMAHAMAN UMUM</t>
  </si>
  <si>
    <t>KANAL INFORMASI DAN PENGADUAN</t>
  </si>
  <si>
    <t>Jumlah</t>
  </si>
  <si>
    <t>RINGKASAN EKSEKUTIF SURVEI DESA MERTASARI</t>
  </si>
  <si>
    <t>255 responden | 30 Juni–19 Agustus 2026</t>
  </si>
  <si>
    <t>INDIKATOR UTAMA</t>
  </si>
  <si>
    <t>IKM LAYANAN</t>
  </si>
  <si>
    <t>ANTIKORUPSI</t>
  </si>
  <si>
    <t>PEMAHAMAN</t>
  </si>
  <si>
    <t>REKOMENDASI</t>
  </si>
  <si>
    <t>CERITA SINGKAT</t>
  </si>
  <si>
    <t>TEMUAN PRIORITAS</t>
  </si>
  <si>
    <t>Temuan</t>
  </si>
  <si>
    <t>Nilai</t>
  </si>
  <si>
    <t>Prioritas</t>
  </si>
  <si>
    <t>Kanal &amp; SLA</t>
  </si>
  <si>
    <t>Standar waktu</t>
  </si>
  <si>
    <t>Checklist</t>
  </si>
  <si>
    <t>Kritis</t>
  </si>
  <si>
    <t>Forum inklusif</t>
  </si>
  <si>
    <t>Perlu diperkuat</t>
  </si>
  <si>
    <t>Publikasi</t>
  </si>
  <si>
    <t>Integritas</t>
  </si>
  <si>
    <t>Profil</t>
  </si>
  <si>
    <t>Usia 17–35</t>
  </si>
  <si>
    <t>Usia 36–55</t>
  </si>
  <si>
    <t>Usia &gt;55</t>
  </si>
  <si>
    <t>Komentar terisi</t>
  </si>
  <si>
    <t>UMPAN BALIK</t>
  </si>
  <si>
    <t>216 komentar terisi. Tema dominan: mempertahankan pelayanan yang sudah baik (106) dan peningkatan umum (67); masukan spesifik menyebut keramahan/kesopanan (11) dan kecepatan (9). Tema dapat saling tumpang tindih.</t>
  </si>
  <si>
    <t>RENCANA AKSI TINDAK LANJUT</t>
  </si>
  <si>
    <t>Prioritas dari nilai terendah; horizon sesuai pedoman</t>
  </si>
  <si>
    <t>MATRIKS TINDAK LANJUT</t>
  </si>
  <si>
    <t>Nilai Awal</t>
  </si>
  <si>
    <t>Waktu</t>
  </si>
  <si>
    <t>Sep–Nov 2026</t>
  </si>
  <si>
    <t>Belum dimulai</t>
  </si>
  <si>
    <t>Sep–Des 2026</t>
  </si>
  <si>
    <t>Kasi Pelayanan</t>
  </si>
  <si>
    <t>Okt 2026–Mar 2027</t>
  </si>
  <si>
    <t>Kaur Perencanaan/BPD</t>
  </si>
  <si>
    <t>Okt 2026–Jun 2027</t>
  </si>
  <si>
    <t>Keberlanjutan SKM</t>
  </si>
  <si>
    <t>CARA MEMBACA LAPORAN</t>
  </si>
  <si>
    <t>1. Mulai dari Ringkasan</t>
  </si>
  <si>
    <t>Lihat empat indikator utama, temuan prioritas, profil responden, dan pesan singkat untuk pimpinan.</t>
  </si>
  <si>
    <t>2. Baca SKM Layanan</t>
  </si>
  <si>
    <t>Nilai 25–100 menunjukkan mutu sembilan unsur layanan. Unsur dengan nilai terendah menjadi prioritas perbaikan.</t>
  </si>
  <si>
    <t>3. Baca Antikorupsi</t>
  </si>
  <si>
    <t>Nilai tinggi berarti masyarakat lebih tegas menolak perilaku yang berisiko korupsi. Bagian ini bersifat diagnostik tambahan.</t>
  </si>
  <si>
    <t>4. Baca Pemahaman</t>
  </si>
  <si>
    <t>Bagian ini menunjukkan seberapa jauh warga mengetahui standar, APBDes, pembangunan, dan berpartisipasi dalam RKP Desa.</t>
  </si>
  <si>
    <t>5. Gunakan Rencana Aksi</t>
  </si>
  <si>
    <t>Setiap masalah telah diterjemahkan menjadi kegiatan, target, waktu, penanggung jawab, bukti, dan mekanisme evaluasi.</t>
  </si>
  <si>
    <t>PESAN UTAMA</t>
  </si>
  <si>
    <t>Secara umum pelayanan Desa Mertasari dinilai baik, dengan IKM 83,02. Biaya/tarif menjadi kekuatan paling nyata, sedangkan pengelolaan pengaduan, waktu penyelesaian, dan konsistensi hasil layanan masih perlu diperbaiki. Tantangan terbesar justru berada pada keterlibatan warga dalam RKP Desa dan pemahaman APBDes. Oleh karena itu, tindak lanjut tidak cukup hanya memperbaiki loket pelayanan, tetapi juga harus memperkuat transparansi, partisipasi, dan pendidikan integritas.</t>
  </si>
  <si>
    <t>NARASI EKSEKUTIF UNTUK PENGAMBIL KEPUTUSAN</t>
  </si>
  <si>
    <t>Kesimpulan umum</t>
  </si>
  <si>
    <t>IKM 83,02 menempatkan kinerja pelayanan dalam mutu B atau Baik. Artinya, pengalaman masyarakat pada umumnya positif, tetapi masih terdapat celah operasional yang perlu ditutup agar layanan bergerak menuju kategori Sangat Baik.</t>
  </si>
  <si>
    <t>Kekuatan utama</t>
  </si>
  <si>
    <t>Biaya/tarif memperoleh 96,57 atau Sangat Baik. Sebanyak 223 dari 255 responden menyatakan layanan gratis. Kekuatan ini harus dijaga melalui informasi tarif yang terlihat jelas dan larangan pungutan di luar ketentuan.</t>
  </si>
  <si>
    <t>Prioritas layanan</t>
  </si>
  <si>
    <t>Penanganan pengaduan 79,41, waktu penyelesaian 80,29, dan produk layanan 80,49 merupakan tiga unsur terendah. Nilainya tetap Baik, namun paling berpotensi menahan peningkatan IKM keseluruhan.</t>
  </si>
  <si>
    <t>Tantangan tata kelola</t>
  </si>
  <si>
    <t>Partisipasi RKP Desa hanya 52,55 dan pengetahuan APBDes 67,75. Ini menunjukkan jarak antara pelayanan administratif yang dinilai baik dengan keterlibatan warga dalam proses perencanaan dan pengawasan desa.</t>
  </si>
  <si>
    <t>Indeks antikorupsi 82,58 menunjukkan penolakan masyarakat cukup baik, tetapi pemahaman mengenai pendapatan tambahan yang tidak jelas, nepotisme pelayanan, dan penggunaan kendaraan dinas perlu dipertegas melalui contoh konkret.</t>
  </si>
  <si>
    <t>Arah kebijakan</t>
  </si>
  <si>
    <t>Fokus 12 bulan pertama adalah pembenahan pengaduan, kepastian waktu, kendali mutu dokumen, forum RKP yang inklusif, dan publikasi APBDes. Edukasi integritas dan penguatan siklus SKM dilaksanakan berkelanjutan.</t>
  </si>
  <si>
    <t>BATASAN INTERPRETASI</t>
  </si>
  <si>
    <t>Survei menggambarkan pendapat 255 responden pada periode 30 Juni–19 Agustus 2026. Nilai antikorupsi dan pemahaman umum adalah indeks diagnostik yang disusun dari pertanyaan tambahan, bukan bagian dari sembilan unsur baku IKM PermenPANRB. Perbandingan dengan periode sebelumnya belum dapat dilakukan karena data pembanding tidak tersedia pada buku kerja ini. Beberapa kelompok berjumlah kecil, sehingga pembacaan per kelompok perlu dilakukan secara hati-hati.</t>
  </si>
  <si>
    <t>PENJELASAN HASIL LAYANAN</t>
  </si>
  <si>
    <t>Makna nilai 83,02</t>
  </si>
  <si>
    <t>Masyarakat menilai layanan sudah baik. Untuk mencapai kategori A/Sangat Baik, nilai perlu melewati 88,30; peningkatan harus diarahkan pada unsur dengan nilai terendah, bukan hanya mempertahankan rata-rata.</t>
  </si>
  <si>
    <t>Biaya/Tarif — 96,57</t>
  </si>
  <si>
    <t>Ini merupakan unsur terbaik. Persepsi gratis atau murah sangat kuat. Pemerintah desa perlu terus memasang informasi tarif resmi dan menyediakan mekanisme pelaporan apabila terdapat permintaan biaya yang tidak sesuai.</t>
  </si>
  <si>
    <t>Pengaduan — 79,41</t>
  </si>
  <si>
    <t>Sebanyak 23 responden menilai pengaduan ada tetapi belum dikelola dengan baik. Masalah utama bukan sekadar ketersediaan kanal, melainkan pencatatan, batas waktu respons, tindak lanjut, dan informasi hasil penyelesaian.</t>
  </si>
  <si>
    <t>Waktu — 80,29</t>
  </si>
  <si>
    <t>Enam responden menyatakan proses kurang cepat. Nilai ini menunjukkan perlunya standar waktu per jenis layanan, pencatatan waktu mulai–selesai, dan analisis kasus yang melewati target.</t>
  </si>
  <si>
    <t>Produk — 80,49</t>
  </si>
  <si>
    <t>Dua responden menyatakan hasil tidak sesuai. Walaupun jumlahnya kecil, kesalahan dokumen memiliki dampak langsung. Pemeriksaan akhir dan checklist perlu diterapkan sebelum dokumen diserahkan.</t>
  </si>
  <si>
    <t>Unsur lain</t>
  </si>
  <si>
    <t>Persyaratan, prosedur, kompetensi, perilaku petugas, dan sarana berada pada kategori Baik. Unsur tersebut dipertahankan sambil memperjelas informasi, meningkatkan keramahan, dan memastikan sarana selalu berfungsi.</t>
  </si>
  <si>
    <t>REKOMENDASI LAYANAN</t>
  </si>
  <si>
    <t>Prioritas pertama adalah membangun pengelolaan pengaduan satu pintu: tetapkan nomor WA/SMS resmi, tetap pertahankan kotak pengaduan, gunakan nomor tiket/register, tetapkan waktu respons dan penyelesaian, serta umumkan rekap tindak lanjut tanpa membuka identitas pelapor. Prioritas kedua adalah menetapkan standar waktu setiap jenis surat dan memantau penyimpangannya setiap minggu. Prioritas ketiga adalah menerapkan checklist persyaratan dan pemeriksaan akhir dokumen. Biaya/tarif harus dipertahankan melalui papan informasi “gratis/tarif resmi” yang mudah terlihat.</t>
  </si>
  <si>
    <t>AA</t>
  </si>
  <si>
    <t>AB</t>
  </si>
  <si>
    <t>AC</t>
  </si>
  <si>
    <t>PENJELASAN PERSEPSI ANTIKORUPSI</t>
  </si>
  <si>
    <t>Makna indeks 82,58</t>
  </si>
  <si>
    <t>Secara umum masyarakat cukup tegas menolak perilaku yang berisiko korupsi. Namun nilai ini belum berarti risiko telah hilang; fokusnya adalah memperjelas situasi yang masih dianggap abu-abu.</t>
  </si>
  <si>
    <t>Nepotisme — 80,10</t>
  </si>
  <si>
    <t>Sebanyak 53 responden menilai penggunaan hubungan keluarga untuk kemudahan pelayanan wajar atau cenderung wajar. Standar antrean dan persyaratan harus berlaku sama bagi semua warga.</t>
  </si>
  <si>
    <t>Kendaraan dinas — 80,20</t>
  </si>
  <si>
    <t>Sebanyak 52 responden menilai penggunaan kendaraan dinas untuk keluarga/pribadi wajar atau cenderung wajar. Aturan penggunaan aset perlu dibuat sederhana, tertulis, dan diawasi.</t>
  </si>
  <si>
    <t>Kekuatan — 88,63</t>
  </si>
  <si>
    <t>Penolakan terhadap gaya hidup mewah di luar kemampuan merupakan indikator terkuat. Pesan ini dapat menjadi pintu masuk kampanye integritas yang mudah dipahami masyarakat.</t>
  </si>
  <si>
    <t>Prinsip tindak lanjut</t>
  </si>
  <si>
    <t>Gunakan contoh kasus sehari-hari, bukan istilah hukum yang rumit. Bedakan gratifikasi, konflik kepentingan, penyalahgunaan aset, nepotisme, dan politik uang beserta kanal konsultasi/pelaporannya.</t>
  </si>
  <si>
    <t>REKOMENDASI ANTIKORUPSI</t>
  </si>
  <si>
    <t>Laksanakan kelas singkat integritas minimal setiap semester untuk perangkat desa, RT/RW, BPD, tokoh masyarakat, kelompok perempuan, dan pemuda. Materinya mencakup konflik kepentingan, penggunaan aset dinas, penerimaan hadiah, bansos, politik uang, serta cara menolak dan melaporkan secara aman. Seluruh aparatur menandatangani pakta integritas, penggunaan aset dicatat, dan kasus konflik kepentingan dideklarasikan. Efektivitas program diukur melalui survei ulang terhadap tiga indikator terendah dan pencatatan tindak lanjut pengaduan integritas.</t>
  </si>
  <si>
    <t>Kanal informasi</t>
  </si>
  <si>
    <t>Kanal pengaduan</t>
  </si>
  <si>
    <t>Prioritas/Dasar</t>
  </si>
  <si>
    <t>Tujuan</t>
  </si>
  <si>
    <t>Rangkaian Kegiatan</t>
  </si>
  <si>
    <t>Penanggung Jawab</t>
  </si>
  <si>
    <t>Keluaran/Bukti</t>
  </si>
  <si>
    <t>Target Keberhasilan</t>
  </si>
  <si>
    <t>Monitoring</t>
  </si>
  <si>
    <t>Penanganan pengaduan</t>
  </si>
  <si>
    <t>Mewujudkan pengaduan yang mudah, tercatat, cepat, dan transparan.</t>
  </si>
  <si>
    <t>1) Tetapkan WA/SMS resmi dan pengelola; 2) satukan WA, kotak, dan media sosial dalam register; 3) beri nomor tiket; 4) tetapkan respons awal maksimal 1 hari kerja dan target penyelesaian menurut jenis aduan; 5) publikasikan rekap bulanan anonim.</t>
  </si>
  <si>
    <t>Sekdes; Kasi Pelayanan</t>
  </si>
  <si>
    <t>SK kanal; SOP; register; tiket; laporan bulanan</t>
  </si>
  <si>
    <t>100% aduan tercatat; ≥90% respons awal ≤1 hari kerja; ≥90% selesai sesuai SLA</t>
  </si>
  <si>
    <t>Cek register mingguan; evaluasi bulanan</t>
  </si>
  <si>
    <t>Waktu penyelesaian</t>
  </si>
  <si>
    <t>Memberikan kepastian waktu dan mengurangi keterlambatan.</t>
  </si>
  <si>
    <t>1) Petakan waktu aktual tiap jenis surat; 2) tetapkan standar waktu; 3) catat waktu masuk–selesai; 4) tampilkan estimasi kepada pemohon; 5) bahas semua kasus melewati target setiap minggu.</t>
  </si>
  <si>
    <t>Kasi Pelayanan; operator</t>
  </si>
  <si>
    <t>Daftar standar waktu; log layanan; rekap keterlambatan</t>
  </si>
  <si>
    <t>≥90% layanan selesai sesuai standar; rata-rata waktu turun ≥15%</t>
  </si>
  <si>
    <t>Rekap mingguan; tinjauan triwulanan</t>
  </si>
  <si>
    <t>Kesesuaian produk</t>
  </si>
  <si>
    <t>Mencegah kesalahan dan pengulangan dokumen.</t>
  </si>
  <si>
    <t>1) Buat checklist per jenis layanan; 2) verifikasi data pemohon; 3) pemeriksaan akhir oleh petugas kedua untuk dokumen berisiko; 4) catat koreksi dan penyebab; 5) perbaiki format yang sering salah.</t>
  </si>
  <si>
    <t>Kasi Pelayanan; petugas loket</t>
  </si>
  <si>
    <t>Checklist; log koreksi; format standar</t>
  </si>
  <si>
    <t>Dokumen dikoreksi setelah penyerahan &lt;2%; 100% memakai checklist</t>
  </si>
  <si>
    <t>Audit sampel 20 dokumen/bulan</t>
  </si>
  <si>
    <t>Meningkatkan keterlibatan warga yang nyata dan representatif.</t>
  </si>
  <si>
    <t>1) Susun kalender forum; 2) undangan multi-kanal H-7; 3) forum dusun/kelompok pada waktu yang terjangkau; 4) sediakan usulan luring/daring; 5) dokumentasikan peserta dan usulan; 6) berikan status dan alasan atas setiap usulan.</t>
  </si>
  <si>
    <t>Kaur Perencanaan; BPD; kepala dusun</t>
  </si>
  <si>
    <t>Kalender; daftar hadir; daftar usulan; matriks tanggapan</t>
  </si>
  <si>
    <t>Kehadiran ≥60% undangan; keterwakilan perempuan/pemuda/kelompok rentan; 100% usulan diberi status</t>
  </si>
  <si>
    <t>Laporan setiap forum; evaluasi akhir siklus RKP</t>
  </si>
  <si>
    <t>Membuat anggaran desa mudah diketahui dan dipahami.</t>
  </si>
  <si>
    <t>1) Infografik pendapatan, belanja, program utama, progres, dan realisasi; 2) pasang di papan strategis; 3) sebarkan melalui WA/media sosial; 4) sesi tanya jawab triwulanan; 5) sediakan kontak pertanyaan.</t>
  </si>
  <si>
    <t>Kaur Keuangan; Sekdes</t>
  </si>
  <si>
    <t>Infografik; bukti publikasi; notulen tanya jawab</t>
  </si>
  <si>
    <t>≥80% responden minimal tahu APBDes; publikasi diperbarui tiap triwulan</t>
  </si>
  <si>
    <t>Cek publikasi bulanan; survei singkat semesteran</t>
  </si>
  <si>
    <t>SOP, maklumat, dan pembangunan</t>
  </si>
  <si>
    <t>Memperjelas standar pelayanan dan peran masyarakat.</t>
  </si>
  <si>
    <t>1) Ringkas SOP dalam alur satu halaman; 2) pasang maklumat dan standar waktu/tarif; 3) jelaskan peran lembaga desa; 4) publikasikan progres pembangunan; 5) sediakan QR/kontak untuk dokumen lengkap.</t>
  </si>
  <si>
    <t>Nov 2026–Jun 2027</t>
  </si>
  <si>
    <t>Sekdes; Kasi Pelayanan; Kaur Perencanaan</t>
  </si>
  <si>
    <t>Poster SOP; maklumat; dashboard progres</t>
  </si>
  <si>
    <t>≥80% warga mengetahui SOP dan peran masyarakat; informasi diperbarui bulanan</t>
  </si>
  <si>
    <t>Observasi papan; survei pengetahuan semesteran</t>
  </si>
  <si>
    <t>Mengurangi toleransi terhadap konflik kepentingan dan penyalahgunaan aset.</t>
  </si>
  <si>
    <t>1) Pelatihan kasus nyata; 2) pakta integritas; 3) aturan penggunaan aset; 4) deklarasi konflik kepentingan; 5) kanal konsultasi/pelaporan aman; 6) sosialisasi untuk RT/RW dan tokoh masyarakat.</t>
  </si>
  <si>
    <t>Jan–Des 2027</t>
  </si>
  <si>
    <t>Kepala Desa; Sekdes; Inspektorat</t>
  </si>
  <si>
    <t>Materi; daftar hadir; pakta; log aset; deklarasi</t>
  </si>
  <si>
    <t>100% aparatur mengikuti pelatihan dan menandatangani pakta; tiga indikator terendah ≥85</t>
  </si>
  <si>
    <t>Audit kepatuhan semesteran; survei ulang tahunan</t>
  </si>
  <si>
    <t>Menjadikan survei sebagai siklus perbaikan, bukan kegiatan sekali selesai.</t>
  </si>
  <si>
    <t>1) Tetapkan Tim SKM; 2) publikasi hasil, metode, dan RTL; 3) rapat capaian triwulanan; 4) dokumentasikan bukti; 5) SKM ulang minimal tahunan; 6) bandingkan tren dan revisi prioritas.</t>
  </si>
  <si>
    <t>Mulai Sep 2026; berkelanjutan</t>
  </si>
  <si>
    <t>Kepala Desa; Tim SKM</t>
  </si>
  <si>
    <t>SK Tim; laporan triwulan; publikasi; laporan SKM tahunan</t>
  </si>
  <si>
    <t>100% aksi memiliki bukti dan status; SKM minimal tahunan; nilai prioritas meningkat</t>
  </si>
  <si>
    <t>Dashboard bulanan; evaluasi pimpinan triwulanan</t>
  </si>
  <si>
    <t>0–30 hari</t>
  </si>
  <si>
    <t>31–90 hari</t>
  </si>
  <si>
    <t>4–12 bulan</t>
  </si>
  <si>
    <t>TATA KELOLA MONITORING DAN EVALUASI</t>
  </si>
  <si>
    <t>RISIKO PELAKSANAAN DAN MITIGASI</t>
  </si>
  <si>
    <t>Standar waktu tidak realistis</t>
  </si>
  <si>
    <t>Partisipasi hanya formalitas</t>
  </si>
  <si>
    <t>Program berhenti setelah survei</t>
  </si>
  <si>
    <t>URUTAN PELAKSANAAN KEGIATAN</t>
  </si>
  <si>
    <t>ANALISIS MENDALAM RESPONDEN DENGAN SKOR LAYANAN RENDAH</t>
  </si>
  <si>
    <t>Definisi analisis: responden dikategorikan memiliki skor rendah apabila memberikan sedikitnya satu jawaban bernilai 1 atau 2 pada sembilan unsur layanan. Dari 255 responden, 59 orang (23,1%) masuk kelompok ini. Kelompok yang lebih berat—rata-rata skor layanan di bawah 3—berjumlah 25 orang (9,8%). Analisis ini membaca pola dan tidak menyimpulkan sebab-akibat; kelompok kecil dan jenis layanan yang dapat dipilih lebih dari satu harus ditafsirkan dengan hati-hati.</t>
  </si>
  <si>
    <t>Skor rendah (1–2)</t>
  </si>
  <si>
    <t>Persentase</t>
  </si>
  <si>
    <t>Makna</t>
  </si>
  <si>
    <t>Masih dinilai cukup mudah, belum sepenuhnya sederhana.</t>
  </si>
  <si>
    <t>Persyaratan belum terasa mudah bagi sebagian pemohon.</t>
  </si>
  <si>
    <t>Pengaduan</t>
  </si>
  <si>
    <t>Kanal ada, tetapi pengelolaan/tindak lanjut belum meyakinkan.</t>
  </si>
  <si>
    <t>Sarana</t>
  </si>
  <si>
    <t>Sarana tersedia namun belum cukup mendukung.</t>
  </si>
  <si>
    <t>Kompetensi</t>
  </si>
  <si>
    <t>Penjelasan petugas kurang/tidak jelas.</t>
  </si>
  <si>
    <t>Proses dirasakan kurang cepat.</t>
  </si>
  <si>
    <t>Sebagian kecil masih menilai cukup mahal.</t>
  </si>
  <si>
    <t>Produk</t>
  </si>
  <si>
    <t>Dua responden menyatakan hasil tidak sesuai.</t>
  </si>
  <si>
    <t>Perilaku petugas</t>
  </si>
  <si>
    <t>Tidak ada jawaban rendah; keramahan menjadi kekuatan.</t>
  </si>
  <si>
    <t>KETERKAITAN DENGAN PROFIL, JENIS LAYANAN, DAN HASIL LAIN</t>
  </si>
  <si>
    <t>Dampak pada kepuasan</t>
  </si>
  <si>
    <t>Keterkaitan pemahaman</t>
  </si>
  <si>
    <t>Keterkaitan antikorupsi</t>
  </si>
  <si>
    <t>Indeks antikorupsi kelompok ini 77,87, lebih rendah dari keseluruhan 82,58; 31 orang juga memiliki skor antikorupsi rendah. Namun hubungan ini tidak otomatis berarti pengalaman korupsi—lebih tepat dibaca sebagai kebutuhan komunikasi integritas dan standar pelayanan yang konsisten.</t>
  </si>
  <si>
    <t>Tingkat responden dengan skor rendah terlihat tinggi pada usia &lt;17 tahun (4 dari 11; 36,4%), tetapi basisnya kecil. Usia 36–55 tahun menyumbang jumlah terbesar, 30 orang, karena merupakan kelompok responden terbesar.</t>
  </si>
  <si>
    <t>Tidak sekolah/tidak tamat menunjukkan 3 dari 5 orang dan SD 7 dari 23 orang. Basis kelompok pertama sangat kecil, tetapi pola ini menegaskan perlunya bahasa sederhana, contoh visual, dan bantuan petugas untuk memahami persyaratan.</t>
  </si>
  <si>
    <t>Jenis pekerjaan</t>
  </si>
  <si>
    <t>ASN tercatat 5 dari 12 orang dan kategori pekerjaan lainnya 34 dari 118. Angka ASN berasal dari sampel kecil; temuan sebaiknya digunakan sebagai sinyal evaluasi, bukan pelabelan kelompok.</t>
  </si>
  <si>
    <t>Jenis layanan</t>
  </si>
  <si>
    <t>Di antara layanan dengan minimal 10 pengguna, proporsi skor rendah relatif tinggi pada Ahli Waris (7/11), Kematian (8/19), Pindah Penduduk (7/19), Tidak Mampu (7/19), dan Nikah (8/22). Layanan tersebut cenderung membutuhkan dokumen lebih banyak atau koordinasi lebih kompleks.</t>
  </si>
  <si>
    <t>Saran terbuka</t>
  </si>
  <si>
    <t>Dari 59 orang, 43 memberi komentar. Tema yang muncul adalah mempertahankan yang baik (16), peningkatan umum (14), keramahan (4), dan kecepatan (2). Komentar tidak selalu menyebut masalah spesifik, sehingga wawancara singkat pada pemohon layanan kompleks diperlukan.</t>
  </si>
  <si>
    <t>KESIMPULAN DAN TINDAKAN TERARAH</t>
  </si>
  <si>
    <t>Akar masalah yang paling mungkin adalah kombinasi antara prosedur/persyaratan yang belum cukup sederhana, lemahnya pengelolaan pengaduan, dan kebutuhan informasi yang berbeda menurut jenis layanan. Prioritas tindakan: (1) petakan alur dan dokumen untuk layanan Ahli Waris, Kematian, Pindah Penduduk, Tidak Mampu, dan Nikah; (2) buat checklist satu halaman per layanan beserta contoh dokumen; (3) lakukan pendampingan bagi pemohon yang membutuhkan; (4) catat waktu, koreksi, dan pertanyaan yang sering muncul; (5) hubungi kembali sampel pemohon yang memberi rekomendasi ≤6 untuk wawancara singkat; dan (6) ukur ulang indikator prosedur, persyaratan, serta pengaduan setelah tiga bulan. Keberhasilan tidak hanya dilihat dari kenaikan IKM, tetapi juga penurunan pengulangan dokumen, keterlambatan, dan aduan yang tidak selesai.</t>
  </si>
  <si>
    <t>ANALISIS MENDALAM RESPONDEN DENGAN SKOR ANTIKORUPSI RENDAH</t>
  </si>
  <si>
    <t>Skor rendah berarti responden menjawab “Wajar” atau “Cenderung Wajar” pada sedikitnya satu perilaku berisiko. Terdapat 104 orang (40,8%) dalam kelompok ini; 53 orang (20,8%) memiliki rata-rata indeks antikorupsi di bawah 75. Besarnya kelompok tidak langsung menunjukkan adanya praktik korupsi, melainkan memperlihatkan perilaku yang batas kewajarannya belum dipahami secara seragam.</t>
  </si>
  <si>
    <t>Perilaku</t>
  </si>
  <si>
    <t>Wajar/cenderung wajar</t>
  </si>
  <si>
    <t>Risiko interpretasi</t>
  </si>
  <si>
    <t>Sumber pendapatan tidak biasa belum selalu dianggap perlu dipertanyakan.</t>
  </si>
  <si>
    <t>Batas antara tradisi, hadiah, dan konflik kepentingan belum jelas.</t>
  </si>
  <si>
    <t>Kemudahan karena hubungan keluarga masih ditoleransi sebagian warga.</t>
  </si>
  <si>
    <t>Penggunaan aset publik untuk kepentingan pribadi belum tegas dipahami.</t>
  </si>
  <si>
    <t>Risiko politik uang masih dianggap wajar oleh sebagian responden.</t>
  </si>
  <si>
    <t>Keterlibatan keluarga tidak menghilangkan unsur imbalan politik.</t>
  </si>
  <si>
    <t>Penyimpangan sasaran bantuan belum ditolak seragam.</t>
  </si>
  <si>
    <t>Uji asal-usul bantuan belum menjadi kebiasaan.</t>
  </si>
  <si>
    <t>Indikator paling dipahami; tetap perlu dipertahankan.</t>
  </si>
  <si>
    <t>KETERKAITAN DENGAN KEPUASAN, PROFIL, DAN PEMAHAMAN</t>
  </si>
  <si>
    <t>Bukan terutama masalah kepuasan</t>
  </si>
  <si>
    <t>Indeks pemahaman kelompok ini 72,08; 85 dari 104 orang juga memiliki minimal satu skor pemahaman rendah. Edukasi integritas harus dikaitkan dengan SOP, APBDes, bantuan sosial, aset desa, dan partisipasi—bukan berdiri sebagai slogan umum.</t>
  </si>
  <si>
    <t>Gender dan usia</t>
  </si>
  <si>
    <t>Proporsi perempuan 53/121 (43,8%) dan laki-laki 51/134 (38,1%) relatif berdekatan. Usia 36–55 memiliki proporsi 58/130 (44,6%). Perbedaannya tidak cukup untuk menjadikan satu kelompok sebagai sasaran tunggal.</t>
  </si>
  <si>
    <t>D4/S1/S2 menunjukkan 14 dari 22 orang (63,6%), lebih tinggi daripada kelompok lain, tetapi sampelnya kecil. Ini menunjukkan masalah bukan semata rendahnya pendidikan; perilaku seperti hadiah, hubungan keluarga, dan penggunaan aset memang dapat dipersepsikan berbeda secara sosial.</t>
  </si>
  <si>
    <t>Kategori pekerjaan lainnya memiliki 61/118 (51,7%) dan ASN 5/12 (41,7%). Karena kategori “lainnya” luas dan ASN kecil, tindak lanjut sebaiknya bersifat universal dengan contoh yang relevan untuk tiap kelompok.</t>
  </si>
  <si>
    <t>Proporsi relatif tinggi terlihat pada pengguna Surat Tidak Mampu (12/19), kategori layanan lainnya (30/49), dan layanan Nikah (13/22). Ini bukan bukti bahwa layanan tersebut bermasalah; pilihan layanan bersifat multi-respons dan kemungkinan mencerminkan komposisi responden.</t>
  </si>
  <si>
    <t>Sebanyak 98 dari 104 orang memberi komentar, tetapi kebanyakan berbicara tentang mempertahankan pelayanan dan peningkatan umum. Minimnya penyebutan integritas menunjukkan pertanyaan tertutup menangkap isu yang tidak spontan muncul dalam komentar.</t>
  </si>
  <si>
    <t>Tumpang tindih</t>
  </si>
  <si>
    <t>Sebanyak 30 responden memiliki skor rendah di ketiga bidang. Kelompok ini layak menjadi sasaran wawancara kualitatif karena menggabungkan pengalaman layanan, pemahaman tata kelola, dan persepsi integritas.</t>
  </si>
  <si>
    <t>Temuan utama adalah adanya area abu-abu sosial, bukan ketidakpuasan terhadap layanan. Rekomendasi: (1) gunakan studi kasus pendek tentang hadiah hajatan, pendapatan tambahan, nepotisme, kendaraan dinas, bansos, dan politik uang; (2) jelaskan perbedaan tradisi yang wajar dengan konflik kepentingan atau penyalahgunaan kewenangan; (3) terapkan pakta integritas, register hadiah/gratifikasi, log aset, dan deklarasi konflik kepentingan; (4) libatkan RT/RW, tokoh agama/adat, pemuda, dan kelompok perempuan; (5) sediakan kanal konsultasi yang aman sebelum pelaporan; dan (6) ukur perubahan per indikator, bukan hanya indeks gabungan. Target awal adalah menurunkan jawaban wajar/cenderung wajar pada tiga indikator terburuk sekurang-kurangnya 25% dalam survei berikutnya.</t>
  </si>
  <si>
    <t>Skor rendah</t>
  </si>
  <si>
    <t>Partisipasi RKP</t>
  </si>
  <si>
    <t>Kolom AD–AQ | 12 indikator ordinal dan 2 kanal informasi | Analisis diagnostik, bukan unsur baku IKM</t>
  </si>
  <si>
    <t>Indeks 25–100</t>
  </si>
  <si>
    <t>Interpretasi</t>
  </si>
  <si>
    <t>Kesediaan menjadi teladan 9 nilai</t>
  </si>
  <si>
    <t>Budaya lokal pencegahan korupsi</t>
  </si>
  <si>
    <t>Pengetahuan maklumat pelayanan</t>
  </si>
  <si>
    <t>Dukungan terhadap maklumat</t>
  </si>
  <si>
    <t>Pengetahuan standar/SOP</t>
  </si>
  <si>
    <t>Pengetahuan keterlibatan pembangunan</t>
  </si>
  <si>
    <t>Indeks diagnostik untuk penentuan program</t>
  </si>
  <si>
    <t>Sumber informasi SPM</t>
  </si>
  <si>
    <t>Papan pengumuman</t>
  </si>
  <si>
    <t>Papan + media sosial</t>
  </si>
  <si>
    <t>Website/media sosial</t>
  </si>
  <si>
    <t>Tidak tahu</t>
  </si>
  <si>
    <t>Media pengaduan</t>
  </si>
  <si>
    <t>Kotak pengaduan</t>
  </si>
  <si>
    <t>PENJELASAN HASIL</t>
  </si>
  <si>
    <t>Gambaran umum</t>
  </si>
  <si>
    <t>Indeks 73,74 menunjukkan pemahaman dan partisipasi belum merata. Warga menilai integritas perangkat sangat baik, tetapi pengetahuan tata kelola dan keterlibatan dalam perencanaan masih lebih lemah.</t>
  </si>
  <si>
    <t>Nilai 52,55 adalah titik paling kritis: 103 responden tidak ikut dan 45 hanya kadang-kadang. Pemerintah desa perlu mengubah partisipasi dari sekadar undangan menjadi proses yang mudah diakses dan menghasilkan umpan balik.</t>
  </si>
  <si>
    <t>Nilai 67,75 menunjukkan 71 responden tidak tahu atau kurang tahu. Anggaran perlu diterjemahkan ke informasi sederhana: sumber dana, program utama, nilai belanja, progres, dan manfaat.</t>
  </si>
  <si>
    <t>Nilai 69,12 menunjukkan peran lembaga dan warga belum terlihat jelas. Informasi harus menjawab siapa melakukan apa, kapan, hasilnya, dan bagaimana warga mengawasi.</t>
  </si>
  <si>
    <t>SOP dan maklumat</t>
  </si>
  <si>
    <t>Dukungan terhadap maklumat tinggi, tetapi pengetahuan dokumen dan SOP sekitar 72. Komitmen pelayanan diterima, namun standar belum cukup terlihat dan dipahami.</t>
  </si>
  <si>
    <t>Papan pengumuman merupakan sumber terbesar. Strategi harus menggabungkan papan, RT/RW, WA, media sosial, dan pertemuan langsung agar menjangkau warga dengan akses digital berbeda.</t>
  </si>
  <si>
    <t>WA/SMS dan kotak pengaduan merupakan kanal utama. Keduanya perlu masuk ke satu register dan menggunakan standar respons yang sama.</t>
  </si>
  <si>
    <t>Implikasi</t>
  </si>
  <si>
    <t>Komunikasi publik harus menjadi bagian dari proses layanan dan pembangunan, bukan kegiatan tambahan setelah keputusan dibuat.</t>
  </si>
  <si>
    <t>REKOMENDASI YANG DAPAT DILAKSANAKAN</t>
  </si>
  <si>
    <t>Dalam 30 hari, tetapkan kalender publikasi dan penanggung jawab informasi. Dalam 90 hari, pasang infografik APBDes, alur SOP, maklumat, dan progres pembangunan di papan serta kanal digital. Untuk siklus RKP berikutnya, sebar undangan minimal H-7, sediakan usulan luring dan daring, catat keterwakilan peserta, dan publikasikan status setiap usulan beserta alasannya. Keberhasilan diukur melalui bukti publikasi, jumlah/komposisi peserta, 100% usulan memiliki status, pengetahuan APBDes minimal 80%, serta partisipasi aktif minimal 60% dari undangan.</t>
  </si>
  <si>
    <t>ANALISIS RESPONDEN DENGAN SKOR PEMAHAMAN RENDAH</t>
  </si>
  <si>
    <t>Skor rendah berarti sedikitnya satu jawaban bernilai 1 atau 2 pada 12 indikator. Terdapat 185 responden (72,5%), terutama karena 148 orang tidak ikut atau hanya kadang-kadang dalam RKP Desa. Agar tidak terlalu luas, sasaran intervensi intensif adalah 55 responden (21,6%) dengan rata-rata pemahaman di bawah 2,60. Definisi ini digunakan untuk prioritas program, bukan untuk memberi label kepada individu.</t>
  </si>
  <si>
    <t>Makna operasional</t>
  </si>
  <si>
    <t>Perlu perbaikan akses, jadwal, representasi, dan umpan balik.</t>
  </si>
  <si>
    <t>Perlu infografik dan penjelasan berkala.</t>
  </si>
  <si>
    <t>Perlu informasi multi-kanal yang mudah ditemukan.</t>
  </si>
  <si>
    <t>Perlu publikasi peran, progres, dan kanal pengawasan.</t>
  </si>
  <si>
    <t>Perlu menghubungkan nilai lokal dengan contoh perilaku.</t>
  </si>
  <si>
    <t>Perlu jadwal dan sasaran sosialisasi yang jelas.</t>
  </si>
  <si>
    <t>Perlu ditempatkan dan dijelaskan pada titik layanan.</t>
  </si>
  <si>
    <t>Perlu alur satu halaman dan bantuan petugas.</t>
  </si>
  <si>
    <t>Kesediaan menjadi teladan</t>
  </si>
  <si>
    <t>Perlu contoh praktik sederhana dan ajakan konkret.</t>
  </si>
  <si>
    <t>Perlu pembagian peran dan kegiatan yang terlihat.</t>
  </si>
  <si>
    <t>Perlu tindak lanjut kualitatif tanpa generalisasi.</t>
  </si>
  <si>
    <t>Dukungan kuat; pertahankan dan terjemahkan ke praktik.</t>
  </si>
  <si>
    <t>KETERKAITAN DAN SEGMENTASI TINDAK LANJUT</t>
  </si>
  <si>
    <t>Hubungan dengan layanan</t>
  </si>
  <si>
    <t>56 dari 59 responden dengan skor layanan rendah juga memiliki skor pemahaman rendah. Penyederhanaan prosedur harus berjalan bersama dengan komunikasi persyaratan dan pendampingan.</t>
  </si>
  <si>
    <t>Kelompok intensif</t>
  </si>
  <si>
    <t>Kelompok rata-rata pemahaman &lt;2,60 memiliki IKM layanan 78,79 dan rekomendasi 7,76. Kelompok ini menjadi prioritas wawancara dan pendampingan, bukan objek pelabelan.</t>
  </si>
  <si>
    <t>Usia muda</t>
  </si>
  <si>
    <t>Kelompok &lt;17 tahun sangat kecil, tetapi 10 dari 11 memiliki minimal satu skor rendah. Gunakan materi visual, kanal digital, dan keterlibatan organisasi pemuda.</t>
  </si>
  <si>
    <t>Usia lanjut</t>
  </si>
  <si>
    <t>Warga &gt;55 tetap memerlukan papan, pertemuan langsung, serta bantuan membaca alur dan dokumen; jangan hanya mengandalkan media sosial.</t>
  </si>
  <si>
    <t>Literasi</t>
  </si>
  <si>
    <t>Responden pendidikan rendah lebih sering masuk kelompok sangat rendah. Gunakan kalimat pendek, simbol, contoh formulir, dan petugas pendamping.</t>
  </si>
  <si>
    <t>Pekerjaan dan waktu</t>
  </si>
  <si>
    <t>Petani dan pekerja informal memerlukan jadwal forum yang tidak bertepatan dengan jam kerja utama serta opsi penyampaian usulan tanpa hadir.</t>
  </si>
  <si>
    <t>Titik layanan strategis</t>
  </si>
  <si>
    <t>Layanan kelahiran, kematian, pindah, dan bantuan sosial dapat menjadi momen pemberian paket informasi singkat tentang SOP, APBDes, RKP, dan pengaduan.</t>
  </si>
  <si>
    <t>Kanal</t>
  </si>
  <si>
    <t>Gabungkan papan, RT/RW, WA, media sosial, dan tatap muka; setiap informasi penting harus tersedia melalui minimal satu kanal luring dan satu kanal daring.</t>
  </si>
  <si>
    <t>Pengukuran</t>
  </si>
  <si>
    <t>Gunakan kuis singkat setelah sosialisasi, daftar hadir tersegmentasi, serta survei ulang dengan pertanyaan yang sama untuk mengukur perubahan.</t>
  </si>
  <si>
    <t>TARGET 12 BULAN</t>
  </si>
  <si>
    <t>Target yang disarankan: partisipasi aktif RKP minimal 60% dari undangan dengan keterwakilan perempuan, pemuda, dan kelompok rentan; minimal 80% responden mengetahui APBDes; 100% usulan warga memiliki status dan alasan; seluruh informasi prioritas tersedia melalui kanal luring dan daring; serta kelompok pemahaman sangat rendah turun sekurang-kurangnya 30%. Target ditinjau triwulanan menggunakan bukti publikasi, daftar hadir, matriks usulan, log pertanyaan, dan survei singkat.</t>
  </si>
  <si>
    <t>Pendapatan tambahan keluarga yang tidak dijelaskan</t>
  </si>
  <si>
    <t>Pendapatan tambahan keluarga — 77,35</t>
  </si>
  <si>
    <t>Sebanyak 70 responden masih menilai wajar atau cenderung wajar apabila seseorang menerima tambahan uang keluarga di luar penghasilan biasa tanpa menanyakan sumbernya. Ini bukan dasar untuk menuduh, tetapi menunjukkan perlunya literasi mengenai kewajaran sumber penghasilan dan pengelolaan risiko konflik kepentingan.</t>
  </si>
  <si>
    <t>Pendapatan tambahan keluarga tak dijelaskan</t>
  </si>
  <si>
    <t>Integritas dan perilaku berisiko</t>
  </si>
  <si>
    <t>Tahap</t>
  </si>
  <si>
    <t>Fokus</t>
  </si>
  <si>
    <t>Kegiatan Kunci</t>
  </si>
  <si>
    <t>Keluaran Wajib</t>
  </si>
  <si>
    <t>PIC Utama</t>
  </si>
  <si>
    <t>Pihak Pendukung</t>
  </si>
  <si>
    <t>Batas Waktu</t>
  </si>
  <si>
    <t>Ukuran Selesai</t>
  </si>
  <si>
    <t>Keputusan Tahap</t>
  </si>
  <si>
    <t>Fondasi dan penetapan tanggung jawab</t>
  </si>
  <si>
    <t>Tetapkan Tim/PIC; sahkan SOP pengaduan dan standar kerja awal; siapkan register, checklist, serta log waktu.</t>
  </si>
  <si>
    <t>SK/penugasan; SOP; register; checklist; format log</t>
  </si>
  <si>
    <t>Sekdes</t>
  </si>
  <si>
    <t>Seluruh dokumen disahkan dan dapat digunakan</t>
  </si>
  <si>
    <t>Lanjut uji coba jika dokumen lengkap</t>
  </si>
  <si>
    <t>Prioritas administratif</t>
  </si>
  <si>
    <t>Uji coba layanan dan transparansi</t>
  </si>
  <si>
    <t>Operasikan kanal pengaduan; uji standar waktu; gunakan checklist; pasang tarif/SOP; terbitkan infografik APBDes.</t>
  </si>
  <si>
    <t>Register aktif; log waktu; bukti publikasi; laporan uji coba</t>
  </si>
  <si>
    <t>Kaur Keuangan; Tim SKM</t>
  </si>
  <si>
    <t>31 Des 2026</t>
  </si>
  <si>
    <t>≥90% transaksi memakai instrumen; seluruh kanal aktif</t>
  </si>
  <si>
    <t>Revisi SOP jika target dua bulan berturut-turut tidak tercapai</t>
  </si>
  <si>
    <t>Tahap stabilisasi</t>
  </si>
  <si>
    <t>Perluasan partisipasi dan perbaikan berbasis data</t>
  </si>
  <si>
    <t>Laksanakan forum RKP inklusif; publikasikan status usulan; evaluasi data aduan, waktu, koreksi dokumen, dan jangkauan informasi.</t>
  </si>
  <si>
    <t>Daftar hadir; matriks usulan; laporan capaian; tindakan korektif</t>
  </si>
  <si>
    <t>Kaur Perencanaan</t>
  </si>
  <si>
    <t>BPD; kepala dusun; Tim SKM</t>
  </si>
  <si>
    <t>31 Agu 2027</t>
  </si>
  <si>
    <t>Target pada matriks aksi tercapai atau memiliki koreksi resmi</t>
  </si>
  <si>
    <t>Tambah sumber daya/ubah metode bila capaian &lt;80% target</t>
  </si>
  <si>
    <t>Tahap penguatan</t>
  </si>
  <si>
    <t>&gt;12 bulan</t>
  </si>
  <si>
    <t>Institusionalisasi dan survei ulang</t>
  </si>
  <si>
    <t>Integrasikan target ke rencana kerja; lakukan audit kepatuhan dan SKM ulang; bandingkan tren; tetapkan prioritas periode berikutnya.</t>
  </si>
  <si>
    <t>Rencana kerja; laporan audit; laporan SKM; RTL baru</t>
  </si>
  <si>
    <t>Kepala Desa</t>
  </si>
  <si>
    <t>Sekdes; Inspektorat; Tim SKM</t>
  </si>
  <si>
    <t>Tahunan</t>
  </si>
  <si>
    <t>SKM terbit; seluruh aksi memiliki status dan bukti</t>
  </si>
  <si>
    <t>Pertahankan, perluas, atau ganti program berdasarkan hasil</t>
  </si>
  <si>
    <t>Siklus berkelanjutan</t>
  </si>
  <si>
    <t>Frekuensi</t>
  </si>
  <si>
    <t>Pelaksana</t>
  </si>
  <si>
    <t>Data yang Diperiksa</t>
  </si>
  <si>
    <t>Bukti Minimum</t>
  </si>
  <si>
    <t>Forum Evaluasi</t>
  </si>
  <si>
    <t>Kriteria Hijau</t>
  </si>
  <si>
    <t>Kriteria Kuning</t>
  </si>
  <si>
    <t>Kriteria Merah</t>
  </si>
  <si>
    <t>Tindakan Korektif</t>
  </si>
  <si>
    <t>Penerima Laporan</t>
  </si>
  <si>
    <t>Mingguan</t>
  </si>
  <si>
    <t>Pengelola kanal/petugas layanan</t>
  </si>
  <si>
    <t>Aduan baru; SLA; waktu layanan; koreksi dokumen</t>
  </si>
  <si>
    <t>Register dan log transaksi</t>
  </si>
  <si>
    <t>Briefing layanan</t>
  </si>
  <si>
    <t>≥90% sesuai target</t>
  </si>
  <si>
    <t>75–89% sesuai target</t>
  </si>
  <si>
    <t>&lt;75% atau ada kasus serius</t>
  </si>
  <si>
    <t>Analisis penyebab dan perbaikan maksimal 7 hari</t>
  </si>
  <si>
    <t>Bulanan</t>
  </si>
  <si>
    <t>PIC setiap program</t>
  </si>
  <si>
    <t>Realisasi kegiatan; target; kendala; anggaran; bukti</t>
  </si>
  <si>
    <t>Laporan satu halaman dan lampiran bukti</t>
  </si>
  <si>
    <t>Rapat Tim SKM</t>
  </si>
  <si>
    <t>Kegiatan sesuai jadwal dan target</t>
  </si>
  <si>
    <t>Terlambat ≤30 hari/target hampir tercapai</t>
  </si>
  <si>
    <t>Terlambat &gt;30 hari atau tanpa bukti</t>
  </si>
  <si>
    <t>Tetapkan PIC tambahan, revisi jadwal, atau ubah metode</t>
  </si>
  <si>
    <t>Triwulanan</t>
  </si>
  <si>
    <t>Tim SKM dan pimpinan</t>
  </si>
  <si>
    <t>Seluruh indikator, keluhan berulang, partisipasi, publikasi</t>
  </si>
  <si>
    <t>Dashboard dan notulen keputusan</t>
  </si>
  <si>
    <t>Rapat evaluasi pimpinan/BPD</t>
  </si>
  <si>
    <t>≥90% indikator hijau</t>
  </si>
  <si>
    <t>60–89% indikator hijau</t>
  </si>
  <si>
    <t>&lt;60% indikator hijau</t>
  </si>
  <si>
    <t>Keputusan tertulis tentang sumber daya dan tindakan koreksi</t>
  </si>
  <si>
    <t>BPD dan publik</t>
  </si>
  <si>
    <t>Tim SKM/penilai yang ditunjuk</t>
  </si>
  <si>
    <t>SKM ulang; tren; capaian RTL; kepatuhan integritas</t>
  </si>
  <si>
    <t>Laporan SKM dan laporan realisasi RTL</t>
  </si>
  <si>
    <t>Forum pertanggungjawaban</t>
  </si>
  <si>
    <t>Nilai prioritas meningkat dan RTL selesai</t>
  </si>
  <si>
    <t>Nilai stagnan tetapi RTL berjalan</t>
  </si>
  <si>
    <t>Nilai turun/RTL tanpa realisasi</t>
  </si>
  <si>
    <t>Susun RTL baru dan evaluasi desain program</t>
  </si>
  <si>
    <t>Pimpinan dan masyarakat</t>
  </si>
  <si>
    <t>Risiko</t>
  </si>
  <si>
    <t>Penyebab Utama</t>
  </si>
  <si>
    <t>Dampak</t>
  </si>
  <si>
    <t>Tanda Awal</t>
  </si>
  <si>
    <t>Pencegahan</t>
  </si>
  <si>
    <t>Mitigasi Saat Terjadi</t>
  </si>
  <si>
    <t>Pemilik Risiko</t>
  </si>
  <si>
    <t>Bukti Pengendalian</t>
  </si>
  <si>
    <t>Level</t>
  </si>
  <si>
    <t>Eskalasi</t>
  </si>
  <si>
    <t>Aduan tidak tercatat</t>
  </si>
  <si>
    <t>Kanal dikelola terpisah atau petugas tidak disiplin</t>
  </si>
  <si>
    <t>Aduan hilang dan kepercayaan menurun</t>
  </si>
  <si>
    <t>Jumlah aduan kanal tidak sama dengan register</t>
  </si>
  <si>
    <t>Satu register; nomor tiket; petugas pengganti</t>
  </si>
  <si>
    <t>Rekonsiliasi kanal; masukkan aduan tertinggal; hubungi pelapor</t>
  </si>
  <si>
    <t>Register dan hasil rekonsiliasi</t>
  </si>
  <si>
    <t>Tinggi</t>
  </si>
  <si>
    <t>Kepala Desa bila ada aduan &gt;3 hari tidak tercatat</t>
  </si>
  <si>
    <t>Target dibuat tanpa data aktual atau sumber daya terbatas</t>
  </si>
  <si>
    <t>Target sering gagal dan standar kehilangan kredibilitas</t>
  </si>
  <si>
    <t>Kepatuhan &lt;75% selama dua minggu</t>
  </si>
  <si>
    <t>Uji waktu aktual satu bulan dan bedakan jenis layanan</t>
  </si>
  <si>
    <t>Revisi target disertai alasan; perbaiki alur/sumber daya</t>
  </si>
  <si>
    <t>Log waktu dan keputusan revisi</t>
  </si>
  <si>
    <t>Rapat pimpinan bila gagal dua bulan</t>
  </si>
  <si>
    <t>Undangan terlambat; waktu tidak sesuai; usulan tanpa umpan balik</t>
  </si>
  <si>
    <t>Warga enggan ikut pada periode berikutnya</t>
  </si>
  <si>
    <t>Peserta homogen atau banyak usulan tanpa status</t>
  </si>
  <si>
    <t>Undangan H-7; multi-kanal; target keterwakilan; matriks tanggapan</t>
  </si>
  <si>
    <t>Forum susulan; buka usulan luring/daring; publikasikan alasan</t>
  </si>
  <si>
    <t>Daftar hadir dan matriks usulan</t>
  </si>
  <si>
    <t>Kepala Desa/BPD bila keterwakilan tidak terpenuhi</t>
  </si>
  <si>
    <t>Informasi tidak menjangkau warga</t>
  </si>
  <si>
    <t>Hanya memakai satu kanal atau bahasa terlalu teknis</t>
  </si>
  <si>
    <t>Pemahaman APBDes/SOP tetap rendah</t>
  </si>
  <si>
    <t>Pertanyaan berulang dan jangkauan publikasi rendah</t>
  </si>
  <si>
    <t>Minimal satu kanal luring dan daring; bahasa visual sederhana</t>
  </si>
  <si>
    <t>Publikasi ulang melalui RT/RW dan pertemuan langsung</t>
  </si>
  <si>
    <t>Sekdes/Kaur Keuangan</t>
  </si>
  <si>
    <t>Foto papan; statistik digital; daftar sosialisasi</t>
  </si>
  <si>
    <t>Sedang</t>
  </si>
  <si>
    <t>Tambah kanal jika jangkauan &lt;80% target</t>
  </si>
  <si>
    <t>Bukti pelaksanaan tidak lengkap</t>
  </si>
  <si>
    <t>PIC fokus pada kegiatan tetapi tidak mendokumentasikan</t>
  </si>
  <si>
    <t>Capaian tidak dapat diverifikasi</t>
  </si>
  <si>
    <t>Laporan tanpa lampiran bukti</t>
  </si>
  <si>
    <t>Daftar bukti wajib dan folder bersama</t>
  </si>
  <si>
    <t>Lengkapi bukti maksimal 7 hari; verifikasi silang</t>
  </si>
  <si>
    <t>Tim SKM</t>
  </si>
  <si>
    <t>Daftar periksa bukti</t>
  </si>
  <si>
    <t>Status program menjadi merah bila bukti tetap tidak ada</t>
  </si>
  <si>
    <t>Tidak masuk rencana kerja/anggaran dan pergantian petugas</t>
  </si>
  <si>
    <t>Perbaikan tidak berkelanjutan</t>
  </si>
  <si>
    <t>Rapat evaluasi terlewat dan status tidak diperbarui</t>
  </si>
  <si>
    <t>Masukkan target ke rencana kerja; PIC pengganti; kalender tetap</t>
  </si>
  <si>
    <t>Keputusan pimpinan; penyesuaian anggaran/jadwal</t>
  </si>
  <si>
    <t>Rencana kerja dan notulen triwulan</t>
  </si>
  <si>
    <t>Dilaporkan kepada BPD dan dipublikasikan</t>
  </si>
  <si>
    <t>ATURAN STATUS PELAKSANAAN</t>
  </si>
  <si>
    <t>Definisi</t>
  </si>
  <si>
    <t>Bukti Wajib</t>
  </si>
  <si>
    <t>Batas Pembaruan</t>
  </si>
  <si>
    <t>Siapa Memvalidasi</t>
  </si>
  <si>
    <t>Tindakan</t>
  </si>
  <si>
    <t>Belum ada aktivitas atau bukti</t>
  </si>
  <si>
    <t>Penugasan/rencana kerja</t>
  </si>
  <si>
    <t>Sebelum tanggal mulai</t>
  </si>
  <si>
    <t>Tetapkan PIC dan tanggal mulai</t>
  </si>
  <si>
    <t>Berjalan</t>
  </si>
  <si>
    <t>Kegiatan sudah dimulai</t>
  </si>
  <si>
    <t>Bukti aktivitas dan capaian sementara</t>
  </si>
  <si>
    <t>Perbarui bulanan</t>
  </si>
  <si>
    <t>Tertunda</t>
  </si>
  <si>
    <t>Melewati jadwal atau ada hambatan utama</t>
  </si>
  <si>
    <t>Catatan hambatan dan keputusan koreksi</t>
  </si>
  <si>
    <t>Maksimal 7 hari setelah terdeteksi</t>
  </si>
  <si>
    <t>Putuskan koreksi sumber daya/jadwal</t>
  </si>
  <si>
    <t>Selesai</t>
  </si>
  <si>
    <t>Target tercapai dan bukti tervalidasi</t>
  </si>
  <si>
    <t>Keluaran, hasil ukur, dan persetujuan validator</t>
  </si>
  <si>
    <t>Publikasikan hasil</t>
  </si>
  <si>
    <t>Rata-rata rekomendasi kelompok skor rendah adalah 7,76, lebih rendah dari seluruh responden 8,39. Pada kelompok berat, rekomendasi turun menjadi 6,84 dan 8 dari 25 orang memberi skor rekomendasi ≤6. Pola ini konsisten dengan adanya hambatan operasional, tetapi penyebabnya tetap perlu dikonfirmasi melalui wawancara singkat dan data proses layanan.</t>
  </si>
  <si>
    <t>Kelompok skor layanan rendah juga memiliki indeks pemahaman rata-rata 67,41, di bawah indeks keseluruhan 73,74. Sebanyak 56 dari 59 orang juga memiliki sedikitnya satu skor pemahaman rendah. Temuan ini menunjukkan perlunya menguji apakah informasi persyaratan, alur, dan waktu layanan sudah cukup mudah dipahami.</t>
  </si>
  <si>
    <t>Kelompok dengan skor antikorupsi rendah tetap memiliki IKM layanan 82,37 dan rekomendasi 8,60. Karena kepuasan layanan tetap tinggi, skor ini lebih tepat dibaca sebagai perbedaan pemahaman mengenai batas perilaku yang wajar—bukan sebagai bukti terjadinya korupsi atau pengalaman langsung responden.</t>
  </si>
  <si>
    <t>KONSEP PUBLIKASI HASIL SURVEI MASYARAKAT DESA MERTASARI</t>
  </si>
  <si>
    <t>1. TARGET PESERTA DAN SALURAN INFORMASI</t>
  </si>
  <si>
    <t>Target audiens</t>
  </si>
  <si>
    <t>Warga pemohon layanan, RT/RW, tokoh masyarakat, kelompok perempuan, pemuda, BPD, perangkat desa, dan unsur pendamping.</t>
  </si>
  <si>
    <t>Saluran utama</t>
  </si>
  <si>
    <t>Papan pengumuman desa, ruang layanan, website desa, Facebook/WhatsApp group, dan media sosial desa.</t>
  </si>
  <si>
    <t>Pesan kunci</t>
  </si>
  <si>
    <t>Hasil survei dipublikasikan secara transparan, ringkas, mudah dibaca, dan disertai rencana tindak lanjut.</t>
  </si>
  <si>
    <t>Format penyajian</t>
  </si>
  <si>
    <t>Poster singkat, infografik 1 lembar, ringkasan 1 halaman, dan konten media sosial 3–5 slide.</t>
  </si>
  <si>
    <t>2. PESAN UTAMA YANG HARUS DISAMPAIKAN</t>
  </si>
  <si>
    <t>A. Kinerja layanan</t>
  </si>
  <si>
    <t>IKM layanan 83,02 berada pada kategori Baik. Nilai ini menunjukkan pelayanan telah berjalan baik, tetapi masih perlu perbaikan pada pengaduan, waktu, dan hasil layanan.</t>
  </si>
  <si>
    <t>B. Kekuatan yang harus dipertahankan</t>
  </si>
  <si>
    <t>Biaya/tarif mendapat penilaian tertinggi. Layanan gratis atau murah tetap menjadi kekuatan utama yang perlu dijaga.</t>
  </si>
  <si>
    <t>C. Isu prioritas masyarakat</t>
  </si>
  <si>
    <t>Pengaduan, waktu penyelesaian, dan produk layanan menjadi fokus perbaikan.</t>
  </si>
  <si>
    <t>D. Isu tata kelola desa</t>
  </si>
  <si>
    <t>Partisipasi RKP Desa dan pengetahuan APBDes perlu diperkuat agar warga lebih memahami proses pembangunan dan anggaran desa.</t>
  </si>
  <si>
    <t>E. Integritas dan transparansi</t>
  </si>
  <si>
    <t>Masyarakat menilai integritas perangkat desa baik, tetapi edukasi mengenai konflik kepentingan, penggunaan aset, dan pengelolaan bantuan perlu ditingkatkan.</t>
  </si>
  <si>
    <t>3. BLOK KONTEN PUBLIKASI (SIAP DIPAKAI)</t>
  </si>
  <si>
    <t>Format yang dapat dipakai untuk menyampaikan informasi ke masyarakat melalui papan layanan, media sosial, website desa, dan ruang rapat</t>
  </si>
  <si>
    <t>Blok 1</t>
  </si>
  <si>
    <t>Judul: Hasil Survei Kepuasan Masyarakat Desa Mertasari</t>
  </si>
  <si>
    <t>Subjudul: 255 responden, periode 30 Juni–19 Agustus 2026</t>
  </si>
  <si>
    <t>Teks singkat: Pelayanan dinilai baik, tetapi perlu perbaikan pada pengaduan, waktu, dan hasil layanan.</t>
  </si>
  <si>
    <t>Blok 2</t>
  </si>
  <si>
    <t>Nilai utama</t>
  </si>
  <si>
    <t>IKM Layanan 83,02 | Antikorupsi 82,58 | Pemahaman Umum 73,74</t>
  </si>
  <si>
    <t>Gunakan angka besar dan warna pembeda untuk memudahkan pembacaan.</t>
  </si>
  <si>
    <t>Blok 3</t>
  </si>
  <si>
    <t>Tiga isu prioritas</t>
  </si>
  <si>
    <t>Penanganan pengaduan, waktu penyelesaian, dan produk layanan.</t>
  </si>
  <si>
    <t>Tambahkan penjelasan singkat tentang apa yang akan diperbaiki dan kapan.</t>
  </si>
  <si>
    <t>Blok 4</t>
  </si>
  <si>
    <t>Program yang sedang dijalankan</t>
  </si>
  <si>
    <t>Perbaikan pengaduan, standar waktu, checklist dokumen, forum RKP, dan publikasi APBDes.</t>
  </si>
  <si>
    <t>Jelaskan bahwa pelaksanaan program disertai monitoring dan evaluasi.</t>
  </si>
  <si>
    <t>Blok 5</t>
  </si>
  <si>
    <t>Panggilan kepada masyarakat</t>
  </si>
  <si>
    <t>Mari ikut berpartisipasi dalam perencanaan desa, menyampaikan pengaduan, dan membaca informasi desa.</t>
  </si>
  <si>
    <t>Tampilkan kanal kontak, kanal pengaduan, dan tombol/tautan jika tersedia.</t>
  </si>
  <si>
    <t>Blok 6</t>
  </si>
  <si>
    <t>Pesan penutup</t>
  </si>
  <si>
    <t>Hasil survei ini menjadi dasar perbaikan layanan, transparansi, dan akuntabilitas desa.</t>
  </si>
  <si>
    <t>Sampaikan bahwa masyarakat dapat mengawasi hasil perbaikan melalui publikasi berkala.</t>
  </si>
  <si>
    <t>4. REKOMENDASI FORMAT PUBLIKASI</t>
  </si>
  <si>
    <t>Poster/leaflet</t>
  </si>
  <si>
    <t>Ukuran A4 atau A3, judul besar, warna dominan biru, ikon sederhana, data ringkas, dan CTA (ajakan bertindak).</t>
  </si>
  <si>
    <t>Infografik 1 lembar</t>
  </si>
  <si>
    <t>Tampilkan 3 indikator utama, 3 isu prioritas, 3 program, dan 1 ajakan partisipasi.</t>
  </si>
  <si>
    <t>Media sosial</t>
  </si>
  <si>
    <t>Gunakan 3–5 slide berisi angka utama, isu prioritas, hasil perbaikan, dan ajakan ikut berpartisipasi.</t>
  </si>
  <si>
    <t>Website desa</t>
  </si>
  <si>
    <t>Publikasikan hasil survei, ringkasan eksekutif, grafik sederhana, indikator, dan daftar aksi yang sudah dijalankan.</t>
  </si>
  <si>
    <t>Ruang layanan</t>
  </si>
  <si>
    <t>Pasang ringkasan hasil survei di dekat loket, beserta informasi kanal pengaduan dan waktu respons.</t>
  </si>
  <si>
    <t>5. TEKS RINGKAS SIAP PAKAI (VERSI PENGUMUMAN)</t>
  </si>
  <si>
    <t>Teks 1</t>
  </si>
  <si>
    <t>Hasil survei kepuasan masyarakat Desa Mertasari menunjukkan pelayanan dinilai baik dengan indeks 83,02. Kami akan terus memperbaiki pengaduan, waktu layanan, dan hasil layanan agar masyarakat semakin puas.</t>
  </si>
  <si>
    <t>Teks 2</t>
  </si>
  <si>
    <t>Pengaduan, waktu penyelesaian, dan produk layanan menjadi fokus perbaikan pada periode mendatang. Warga juga diminta lebih aktif mengikuti proses perencanaan desa melalui forum RKP Desa dan membaca informasi APBDes.</t>
  </si>
  <si>
    <t>Teks 3</t>
  </si>
  <si>
    <t>Desa Mertasari menyampaikan terima kasih atas partisipasi masyarakat. Hasil survei ini akan menjadi dasar perbaikan layanan, transparansi, dan akuntabilitas desa secara berkala.</t>
  </si>
  <si>
    <t>Teks 4</t>
  </si>
  <si>
    <t>Untuk mengetahui perkembangan layanan, masyarakat dapat menyampaikan pendapat melalui kanal yang tersedia dan mengikuti publikasi hasil survei pada papan pengumuman, website desa, dan media sosial.</t>
  </si>
  <si>
    <t>Teks 5</t>
  </si>
  <si>
    <t>Perbaikan layanan desa tidak akan berjalan tanpa partisipasi warga. Mari bersama-sama menjaga kualitas pelayanan, transparansi, dan tata kelola desa yang baik.</t>
  </si>
  <si>
    <t>HASIL SURVEI MASYARAKAT DESA MERTASARI</t>
  </si>
  <si>
    <t>255 responden • 30 Juni–19 Agustus 2026 • Pelayanan Baik, Perbaikan Terus Dilakukan</t>
  </si>
  <si>
    <t>Pelayanan memperoleh nilai 83,02 (B/Baik). Kekuatan terbesar adalah biaya/tarif. Perbaikan diprioritaskan pada pengaduan, kepastian waktu, kualitas dokumen, partisipasi RKP Desa, dan keterbukaan APBDes.</t>
  </si>
  <si>
    <t>PERBANDINGAN HASIL UTAMA</t>
  </si>
  <si>
    <t>IKM Layanan</t>
  </si>
  <si>
    <t>Pemahaman Umum</t>
  </si>
  <si>
    <t>PRIORITAS PERBAIKAN LAYANAN</t>
  </si>
  <si>
    <t>1. PENGADUAN</t>
  </si>
  <si>
    <t>Kanal resmi, nomor tiket, register, respons awal maksimal 1 hari kerja, dan publikasi tindak lanjut.</t>
  </si>
  <si>
    <t>2. WAKTU LAYANAN</t>
  </si>
  <si>
    <t>Standar waktu per jenis layanan, pencatatan waktu masuk–selesai, dan evaluasi keterlambatan.</t>
  </si>
  <si>
    <t>3. KUALITAS DOKUMEN</t>
  </si>
  <si>
    <t>Checklist persyaratan, verifikasi data, dan pemeriksaan akhir sebelum dokumen diserahkan.</t>
  </si>
  <si>
    <t>KOMITMEN PEMERINTAH DESA</t>
  </si>
  <si>
    <t>✓</t>
  </si>
  <si>
    <t>Seluruh pengaduan dicatat dan dipantau</t>
  </si>
  <si>
    <t>Minimal 90% layanan selesai sesuai standar</t>
  </si>
  <si>
    <t>Informasi APBDes diperbarui berkala</t>
  </si>
  <si>
    <t>Usulan RKP diberi status dan alasan</t>
  </si>
  <si>
    <t>Tarif resmi/gratis diumumkan jelas</t>
  </si>
  <si>
    <t>Checklist digunakan untuk seluruh dokumen</t>
  </si>
  <si>
    <t>Forum RKP disebarkan minimal H-7</t>
  </si>
  <si>
    <t>Hasil tindak lanjut dipublikasikan</t>
  </si>
  <si>
    <t>Monitoring dilakukan mingguan dan bulanan</t>
  </si>
  <si>
    <t>Evaluasi bersama BPD secara triwulanan</t>
  </si>
  <si>
    <t>Survei diulang minimal setiap tahun</t>
  </si>
  <si>
    <t>Bukti pelaksanaan tersedia untuk masyarakat</t>
  </si>
  <si>
    <t>MARI IKUT MEMPERBAIKI PELAYANAN DESA
Sampaikan pengaduan melalui kanal resmi • Ikuti forum RKP Desa • Baca informasi APBDes • Pantau tindak lanjut secara berkala</t>
  </si>
  <si>
    <t>Terima kasih atas partisipasi masyarakat. Hasil survei menjadi dasar perbaikan layanan, transparansi, dan akuntabilitas Desa Mertasari.</t>
  </si>
  <si>
    <t>IKM LAYANAN • SKALA 1–4 → INDEKS</t>
  </si>
  <si>
    <t>ANTIKORUPSI • SKALA 1–4 → INDEKS</t>
  </si>
  <si>
    <t>PEMAHAMAN UMUM • INDEKS</t>
  </si>
  <si>
    <t>Rumus konversi: Indeks = nilai rata-rata skala 1–4 × 25. Contoh IKM: 3,32 × 25 = 83,02.</t>
  </si>
  <si>
    <t>Skala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</si>
</sst>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yyyy\-mm\-dd\ hh:mm"/>
    <numFmt numFmtId="166" formatCode="0.0%"/>
  </numFmts>
  <fonts count="21" x14ac:knownFonts="1">
    <font>
      <sz val="11"/>
      <color theme="1"/>
      <name val="Calibri"/>
      <family val="2"/>
      <scheme val="minor"/>
    </font>
    <font>
      <b/>
      <sz val="11"/>
      <color theme="1"/>
      <name val="Calibri"/>
      <family val="2"/>
      <scheme val="minor"/>
    </font>
    <font>
      <b/>
      <sz val="11"/>
      <color rgb="FFFFFFFF"/>
      <name val="Calibri"/>
      <family val="2"/>
      <scheme val="minor"/>
    </font>
    <font>
      <b/>
      <sz val="20"/>
      <color rgb="FFFFFFFF"/>
      <name val="Calibri"/>
      <family val="2"/>
      <scheme val="minor"/>
    </font>
    <font>
      <i/>
      <sz val="11"/>
      <color rgb="FF666666"/>
      <name val="Calibri"/>
      <family val="2"/>
      <scheme val="minor"/>
    </font>
    <font>
      <b/>
      <sz val="11"/>
      <color rgb="FF1F4E78"/>
      <name val="Calibri"/>
      <family val="2"/>
      <scheme val="minor"/>
    </font>
    <font>
      <b/>
      <sz val="18"/>
      <color rgb="FFFFFFFF"/>
      <name val="Calibri"/>
      <family val="2"/>
      <scheme val="minor"/>
    </font>
    <font>
      <b/>
      <sz val="22"/>
      <color theme="1"/>
      <name val="Calibri"/>
      <family val="2"/>
      <scheme val="minor"/>
    </font>
    <font>
      <sz val="11"/>
      <color rgb="FF333333"/>
      <name val="Calibri"/>
      <family val="2"/>
      <scheme val="minor"/>
    </font>
    <font>
      <i/>
      <sz val="11"/>
      <color rgb="FF555555"/>
      <name val="Calibri"/>
      <family val="2"/>
      <scheme val="minor"/>
    </font>
    <font>
      <b/>
      <sz val="16"/>
      <color rgb="FFFFFFFF"/>
      <name val="Calibri"/>
      <family val="2"/>
      <scheme val="minor"/>
    </font>
    <font>
      <b/>
      <sz val="22"/>
      <color rgb="FFFFFFFF"/>
      <name val="Calibri"/>
      <family val="2"/>
      <scheme val="minor"/>
    </font>
    <font>
      <b/>
      <sz val="11"/>
      <color rgb="FF17365D"/>
      <name val="Calibri"/>
      <family val="2"/>
      <scheme val="minor"/>
    </font>
    <font>
      <b/>
      <sz val="11"/>
      <color rgb="FF333333"/>
      <name val="Calibri"/>
      <family val="2"/>
      <scheme val="minor"/>
    </font>
    <font>
      <b/>
      <sz val="12"/>
      <color rgb="FFFFFFFF"/>
      <name val="Calibri"/>
      <family val="2"/>
      <scheme val="minor"/>
    </font>
    <font>
      <sz val="11"/>
      <color rgb="FF274E13"/>
      <name val="Calibri"/>
      <family val="2"/>
      <scheme val="minor"/>
    </font>
    <font>
      <b/>
      <sz val="12"/>
      <color rgb="FF274E13"/>
      <name val="Calibri"/>
      <family val="2"/>
      <scheme val="minor"/>
    </font>
    <font>
      <b/>
      <sz val="13"/>
      <color rgb="FFFFFFFF"/>
      <name val="Calibri"/>
      <family val="2"/>
      <scheme val="minor"/>
    </font>
    <font>
      <i/>
      <sz val="9"/>
      <color rgb="FF555555"/>
      <name val="Calibri"/>
      <family val="2"/>
      <scheme val="minor"/>
    </font>
    <font>
      <b/>
      <sz val="18"/>
      <color rgb="FF17365D"/>
      <name val="Calibri"/>
      <family val="2"/>
      <scheme val="minor"/>
    </font>
    <font>
      <b/>
      <sz val="11"/>
      <color rgb="FF7F6000"/>
      <name val="Calibri"/>
      <family val="2"/>
      <scheme val="minor"/>
    </font>
  </fonts>
  <fills count="13">
    <fill>
      <patternFill patternType="none"/>
    </fill>
    <fill>
      <patternFill patternType="gray125"/>
    </fill>
    <fill>
      <patternFill patternType="solid">
        <fgColor rgb="FF17365D"/>
        <bgColor indexed="64"/>
      </patternFill>
    </fill>
    <fill>
      <patternFill patternType="solid">
        <fgColor rgb="FF0F6B78"/>
        <bgColor indexed="64"/>
      </patternFill>
    </fill>
    <fill>
      <patternFill patternType="solid">
        <fgColor rgb="FF1F4E78"/>
        <bgColor indexed="64"/>
      </patternFill>
    </fill>
    <fill>
      <patternFill patternType="solid">
        <fgColor rgb="FFD9EAF7"/>
        <bgColor indexed="64"/>
      </patternFill>
    </fill>
    <fill>
      <patternFill patternType="solid">
        <fgColor rgb="FFDDEBF7"/>
        <bgColor indexed="64"/>
      </patternFill>
    </fill>
    <fill>
      <patternFill patternType="solid">
        <fgColor rgb="FFD9A441"/>
        <bgColor indexed="64"/>
      </patternFill>
    </fill>
    <fill>
      <patternFill patternType="solid">
        <fgColor rgb="FFF3F6F8"/>
        <bgColor indexed="64"/>
      </patternFill>
    </fill>
    <fill>
      <patternFill patternType="solid">
        <fgColor rgb="FFED7D31"/>
        <bgColor indexed="64"/>
      </patternFill>
    </fill>
    <fill>
      <patternFill patternType="solid">
        <fgColor rgb="FF70AD47"/>
        <bgColor indexed="64"/>
      </patternFill>
    </fill>
    <fill>
      <patternFill patternType="solid">
        <fgColor rgb="FFE2F0D9"/>
        <bgColor indexed="64"/>
      </patternFill>
    </fill>
    <fill>
      <patternFill patternType="solid">
        <fgColor rgb="FFFFF2CC"/>
        <bgColor indexed="64"/>
      </patternFill>
    </fill>
  </fills>
  <borders count="10">
    <border>
      <left/>
      <right/>
      <top/>
      <bottom/>
      <diagonal/>
    </border>
    <border>
      <left/>
      <right/>
      <top style="thin">
        <color auto="1"/>
      </top>
      <bottom/>
      <diagonal/>
    </border>
    <border>
      <left/>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
    <xf numFmtId="0" fontId="0" fillId="0" borderId="0"/>
  </cellStyleXfs>
  <cellXfs count="73">
    <xf numFmtId="0" fontId="0" fillId="0" borderId="0" xfId="0"/>
    <xf numFmtId="164" fontId="0" fillId="0" borderId="0" xfId="0" applyNumberFormat="1"/>
    <xf numFmtId="0" fontId="0" fillId="0" borderId="0" xfId="0" applyAlignment="1">
      <alignment wrapText="1"/>
    </xf>
    <xf numFmtId="0" fontId="0" fillId="0" borderId="0" xfId="0" quotePrefix="1"/>
    <xf numFmtId="0" fontId="0" fillId="0" borderId="0" xfId="0" applyNumberFormat="1"/>
    <xf numFmtId="0" fontId="0" fillId="0" borderId="0" xfId="0"/>
    <xf numFmtId="0" fontId="3" fillId="2" borderId="0" xfId="0" applyFont="1" applyFill="1"/>
    <xf numFmtId="0" fontId="4" fillId="0" borderId="0" xfId="0" applyFont="1"/>
    <xf numFmtId="0" fontId="2" fillId="3" borderId="0" xfId="0" applyFont="1" applyFill="1"/>
    <xf numFmtId="0" fontId="5" fillId="0" borderId="0" xfId="0" applyFont="1"/>
    <xf numFmtId="0" fontId="0" fillId="0" borderId="0" xfId="0" applyAlignment="1">
      <alignment wrapText="1"/>
    </xf>
    <xf numFmtId="0" fontId="6" fillId="2" borderId="0" xfId="0" applyFont="1" applyFill="1"/>
    <xf numFmtId="0" fontId="4" fillId="0" borderId="0" xfId="0" applyFont="1" applyAlignment="1">
      <alignment wrapText="1"/>
    </xf>
    <xf numFmtId="0" fontId="2" fillId="4" borderId="6" xfId="0" applyFont="1" applyFill="1" applyBorder="1" applyAlignment="1">
      <alignment horizontal="center" wrapText="1"/>
    </xf>
    <xf numFmtId="0" fontId="0" fillId="0" borderId="6" xfId="0" applyBorder="1"/>
    <xf numFmtId="2" fontId="0" fillId="0" borderId="6" xfId="0" applyNumberFormat="1" applyBorder="1"/>
    <xf numFmtId="0" fontId="1" fillId="5" borderId="0" xfId="0" applyFont="1" applyFill="1"/>
    <xf numFmtId="0" fontId="1" fillId="5" borderId="0" xfId="0" applyFont="1" applyFill="1"/>
    <xf numFmtId="2" fontId="1" fillId="5" borderId="0" xfId="0" applyNumberFormat="1" applyFont="1" applyFill="1"/>
    <xf numFmtId="0" fontId="7" fillId="5" borderId="0" xfId="0" applyFont="1" applyFill="1"/>
    <xf numFmtId="2" fontId="7" fillId="5" borderId="0" xfId="0" applyNumberFormat="1" applyFont="1" applyFill="1"/>
    <xf numFmtId="0" fontId="0" fillId="0" borderId="6" xfId="0" applyBorder="1" applyAlignment="1">
      <alignment wrapText="1"/>
    </xf>
    <xf numFmtId="0" fontId="2" fillId="2" borderId="0" xfId="0" applyFont="1" applyFill="1"/>
    <xf numFmtId="165" fontId="2" fillId="2" borderId="0" xfId="0" applyNumberFormat="1" applyFont="1" applyFill="1"/>
    <xf numFmtId="165" fontId="0" fillId="0" borderId="0" xfId="0" applyNumberFormat="1"/>
    <xf numFmtId="1" fontId="0" fillId="0" borderId="0" xfId="0" applyNumberFormat="1"/>
    <xf numFmtId="0" fontId="5" fillId="0" borderId="6" xfId="0" applyFont="1" applyBorder="1"/>
    <xf numFmtId="0" fontId="0" fillId="0" borderId="0" xfId="0" applyAlignment="1">
      <alignment vertical="top" wrapText="1"/>
    </xf>
    <xf numFmtId="0" fontId="8" fillId="0" borderId="0" xfId="0" applyFont="1" applyAlignment="1">
      <alignment vertical="top" wrapText="1"/>
    </xf>
    <xf numFmtId="0" fontId="2" fillId="4" borderId="6" xfId="0" applyFont="1" applyFill="1" applyBorder="1" applyAlignment="1">
      <alignment horizontal="center" vertical="center" wrapText="1"/>
    </xf>
    <xf numFmtId="0" fontId="0" fillId="0" borderId="6" xfId="0" applyBorder="1" applyAlignment="1">
      <alignment vertical="top"/>
    </xf>
    <xf numFmtId="2" fontId="0" fillId="0" borderId="6" xfId="0" applyNumberFormat="1" applyBorder="1" applyAlignment="1">
      <alignment vertical="top"/>
    </xf>
    <xf numFmtId="0" fontId="0" fillId="0" borderId="6" xfId="0" applyBorder="1" applyAlignment="1">
      <alignment vertical="top" wrapText="1"/>
    </xf>
    <xf numFmtId="166" fontId="0" fillId="0" borderId="6" xfId="0" applyNumberFormat="1" applyBorder="1"/>
    <xf numFmtId="0" fontId="5" fillId="0" borderId="6" xfId="0" applyFont="1" applyBorder="1" applyAlignment="1">
      <alignment wrapText="1"/>
    </xf>
    <xf numFmtId="0" fontId="9" fillId="0" borderId="0" xfId="0" applyFont="1"/>
    <xf numFmtId="15" fontId="0" fillId="0" borderId="6" xfId="0" applyNumberFormat="1" applyBorder="1" applyAlignment="1">
      <alignment vertical="top" wrapText="1"/>
    </xf>
    <xf numFmtId="0" fontId="10" fillId="2" borderId="0" xfId="0" applyFont="1" applyFill="1" applyAlignment="1">
      <alignment wrapText="1"/>
    </xf>
    <xf numFmtId="0" fontId="1" fillId="0" borderId="0" xfId="0" applyFont="1" applyAlignment="1">
      <alignment wrapText="1"/>
    </xf>
    <xf numFmtId="0" fontId="13" fillId="8" borderId="1" xfId="0" applyFont="1" applyFill="1" applyBorder="1" applyAlignment="1">
      <alignment horizontal="center" vertical="center" wrapText="1"/>
    </xf>
    <xf numFmtId="0" fontId="13" fillId="8" borderId="0" xfId="0" applyFont="1" applyFill="1" applyAlignment="1">
      <alignment horizontal="center" vertical="center" wrapText="1"/>
    </xf>
    <xf numFmtId="0" fontId="8" fillId="8" borderId="1" xfId="0" applyFont="1" applyFill="1" applyBorder="1" applyAlignment="1">
      <alignment horizontal="center" vertical="center" wrapText="1"/>
    </xf>
    <xf numFmtId="0" fontId="8" fillId="8" borderId="0"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8" fillId="8"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15" fillId="11" borderId="0" xfId="0" applyFont="1" applyFill="1" applyAlignment="1">
      <alignment vertical="center" wrapText="1"/>
    </xf>
    <xf numFmtId="0" fontId="16" fillId="11" borderId="0" xfId="0" applyFont="1" applyFill="1" applyAlignment="1">
      <alignment horizontal="center" vertical="center" wrapText="1"/>
    </xf>
    <xf numFmtId="0" fontId="17" fillId="2" borderId="0" xfId="0" applyFont="1" applyFill="1" applyAlignment="1">
      <alignment horizontal="center" vertical="center" wrapText="1"/>
    </xf>
    <xf numFmtId="0" fontId="11" fillId="2" borderId="0" xfId="0" applyFont="1" applyFill="1" applyAlignment="1">
      <alignment horizontal="center" vertical="center" wrapText="1"/>
    </xf>
    <xf numFmtId="0" fontId="12" fillId="6" borderId="0" xfId="0" applyFont="1" applyFill="1" applyAlignment="1">
      <alignment horizontal="center" wrapText="1"/>
    </xf>
    <xf numFmtId="0" fontId="2" fillId="4" borderId="0" xfId="0" applyFont="1" applyFill="1" applyAlignment="1">
      <alignment horizontal="center" wrapText="1"/>
    </xf>
    <xf numFmtId="0" fontId="2" fillId="3" borderId="0" xfId="0" applyFont="1" applyFill="1" applyAlignment="1">
      <alignment horizontal="center" wrapText="1"/>
    </xf>
    <xf numFmtId="0" fontId="2" fillId="7" borderId="0" xfId="0" applyFont="1" applyFill="1" applyAlignment="1">
      <alignment horizontal="center" wrapText="1"/>
    </xf>
    <xf numFmtId="0" fontId="14" fillId="3" borderId="0" xfId="0" applyFont="1" applyFill="1" applyAlignment="1">
      <alignment wrapText="1"/>
    </xf>
    <xf numFmtId="0" fontId="2" fillId="9" borderId="0" xfId="0" applyFont="1" applyFill="1" applyAlignment="1">
      <alignment horizontal="center" wrapText="1"/>
    </xf>
    <xf numFmtId="0" fontId="2" fillId="10" borderId="0" xfId="0" applyFont="1" applyFill="1" applyAlignment="1">
      <alignment horizontal="center" wrapText="1"/>
    </xf>
    <xf numFmtId="0" fontId="18" fillId="0" borderId="0" xfId="0" applyFont="1" applyAlignment="1">
      <alignment horizontal="center" wrapText="1"/>
    </xf>
    <xf numFmtId="0" fontId="19" fillId="5" borderId="3" xfId="0" applyNumberFormat="1" applyFont="1" applyFill="1" applyBorder="1" applyAlignment="1">
      <alignment horizontal="center" vertical="center" wrapText="1"/>
    </xf>
    <xf numFmtId="0" fontId="19" fillId="5" borderId="1" xfId="0" applyNumberFormat="1" applyFont="1" applyFill="1" applyBorder="1" applyAlignment="1">
      <alignment horizontal="center" vertical="center" wrapText="1"/>
    </xf>
    <xf numFmtId="0" fontId="19" fillId="5" borderId="7" xfId="0" applyNumberFormat="1" applyFont="1" applyFill="1" applyBorder="1" applyAlignment="1">
      <alignment horizontal="center" vertical="center" wrapText="1"/>
    </xf>
    <xf numFmtId="0" fontId="19" fillId="5" borderId="4" xfId="0" applyNumberFormat="1" applyFont="1" applyFill="1" applyBorder="1" applyAlignment="1">
      <alignment horizontal="center" vertical="center" wrapText="1"/>
    </xf>
    <xf numFmtId="0" fontId="19" fillId="5" borderId="0" xfId="0" applyNumberFormat="1" applyFont="1" applyFill="1" applyBorder="1" applyAlignment="1">
      <alignment horizontal="center" vertical="center" wrapText="1"/>
    </xf>
    <xf numFmtId="0" fontId="19" fillId="5" borderId="8" xfId="0" applyNumberFormat="1" applyFont="1" applyFill="1" applyBorder="1" applyAlignment="1">
      <alignment horizontal="center" vertical="center" wrapText="1"/>
    </xf>
    <xf numFmtId="0" fontId="19" fillId="5" borderId="5" xfId="0" applyNumberFormat="1" applyFont="1" applyFill="1" applyBorder="1" applyAlignment="1">
      <alignment horizontal="center" vertical="center" wrapText="1"/>
    </xf>
    <xf numFmtId="0" fontId="19" fillId="5" borderId="2" xfId="0" applyNumberFormat="1" applyFont="1" applyFill="1" applyBorder="1" applyAlignment="1">
      <alignment horizontal="center" vertical="center" wrapText="1"/>
    </xf>
    <xf numFmtId="0" fontId="19" fillId="5" borderId="9" xfId="0" applyNumberFormat="1" applyFont="1" applyFill="1" applyBorder="1" applyAlignment="1">
      <alignment horizontal="center" vertical="center" wrapText="1"/>
    </xf>
    <xf numFmtId="0" fontId="20" fillId="12" borderId="0" xfId="0" applyFont="1" applyFill="1" applyAlignment="1">
      <alignment horizontal="center" wrapText="1"/>
    </xf>
    <xf numFmtId="0" fontId="2" fillId="4" borderId="6" xfId="0" applyFont="1" applyFill="1" applyBorder="1" applyAlignment="1">
      <alignment horizontal="center"/>
    </xf>
  </cellXfs>
  <cellStyles count="1">
    <cellStyle name="Normal" xfId="0" builtinId="0"/>
  </cellStyles>
  <dxfs count="46">
    <dxf>
      <numFmt numFmtId="1" formatCode="0"/>
    </dxf>
    <dxf>
      <numFmt numFmtId="165" formatCode="yyyy\-mm\-dd\ hh:mm"/>
    </dxf>
    <dxf>
      <numFmt numFmtId="165" formatCode="yyyy\-mm\-dd\ hh:mm"/>
    </dxf>
    <dxf>
      <font>
        <b/>
        <color rgb="FFFFFFFF"/>
      </font>
      <fill>
        <patternFill patternType="solid">
          <fgColor indexed="64"/>
          <bgColor rgb="FF17365D"/>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Perbandingan Tiga Indeks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Ringkasan!$B$31</c:f>
              <c:strCache>
                <c:ptCount val="1"/>
                <c:pt idx="0">
                  <c:v>Nilai</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Ringkasan!$A$32:$A$34</c:f>
              <c:strCache>
                <c:ptCount val="3"/>
                <c:pt idx="0">
                  <c:v>SKM Layanan</c:v>
                </c:pt>
                <c:pt idx="1">
                  <c:v>Antikorupsi</c:v>
                </c:pt>
                <c:pt idx="2">
                  <c:v>Pemahaman</c:v>
                </c:pt>
              </c:strCache>
            </c:strRef>
          </c:cat>
          <c:val>
            <c:numRef>
              <c:f>Ringkasan!$B$32:$B$34</c:f>
              <c:numCache>
                <c:formatCode>0.00</c:formatCode>
                <c:ptCount val="3"/>
                <c:pt idx="0">
                  <c:v>83.017429193899773</c:v>
                </c:pt>
                <c:pt idx="1">
                  <c:v>82.581699346405216</c:v>
                </c:pt>
                <c:pt idx="2">
                  <c:v>73.74183006535948</c:v>
                </c:pt>
              </c:numCache>
            </c:numRef>
          </c:val>
          <c:extLst>
            <c:ext xmlns:c16="http://schemas.microsoft.com/office/drawing/2014/chart" uri="{C3380CC4-5D6E-409C-BE32-E72D297353CC}">
              <c16:uniqueId val="{00000000-BC5A-4626-A2DD-532525E691BA}"/>
            </c:ext>
          </c:extLst>
        </c:ser>
        <c:dLbls>
          <c:showLegendKey val="0"/>
          <c:showVal val="0"/>
          <c:showCatName val="0"/>
          <c:showSerName val="0"/>
          <c:showPercent val="0"/>
          <c:showBubbleSize val="0"/>
        </c:dLbls>
        <c:gapWidth val="182"/>
        <c:axId val="1297987039"/>
        <c:axId val="1293313295"/>
      </c:barChart>
      <c:catAx>
        <c:axId val="129798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3313295"/>
        <c:crosses val="autoZero"/>
        <c:auto val="1"/>
        <c:lblAlgn val="ctr"/>
        <c:lblOffset val="100"/>
        <c:noMultiLvlLbl val="0"/>
      </c:catAx>
      <c:valAx>
        <c:axId val="12933132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798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Nilai per Unsur Layanan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'SKM Layanan'!$F$5</c:f>
              <c:strCache>
                <c:ptCount val="1"/>
                <c:pt idx="0">
                  <c:v>Nilai 25–100</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'SKM Layanan'!$B$6:$B$14</c:f>
              <c:strCache>
                <c:ptCount val="9"/>
                <c:pt idx="0">
                  <c:v>Persyaratan</c:v>
                </c:pt>
                <c:pt idx="1">
                  <c:v>Prosedur</c:v>
                </c:pt>
                <c:pt idx="2">
                  <c:v>Waktu Penyelesaian</c:v>
                </c:pt>
                <c:pt idx="3">
                  <c:v>Biaya/Tarif</c:v>
                </c:pt>
                <c:pt idx="4">
                  <c:v>Produk Spesifikasi</c:v>
                </c:pt>
                <c:pt idx="5">
                  <c:v>Kompetensi Pelaksana</c:v>
                </c:pt>
                <c:pt idx="6">
                  <c:v>Perilaku Pelaksana</c:v>
                </c:pt>
                <c:pt idx="7">
                  <c:v>Sarana Prasarana</c:v>
                </c:pt>
                <c:pt idx="8">
                  <c:v>Penanganan Pengaduan</c:v>
                </c:pt>
              </c:strCache>
            </c:strRef>
          </c:cat>
          <c:val>
            <c:numRef>
              <c:f>'SKM Layanan'!$F$6:$F$14</c:f>
              <c:numCache>
                <c:formatCode>0.00</c:formatCode>
                <c:ptCount val="9"/>
                <c:pt idx="0">
                  <c:v>82.254901960784309</c:v>
                </c:pt>
                <c:pt idx="1">
                  <c:v>81.274509803921575</c:v>
                </c:pt>
                <c:pt idx="2">
                  <c:v>80.294117647058826</c:v>
                </c:pt>
                <c:pt idx="3">
                  <c:v>96.568627450980387</c:v>
                </c:pt>
                <c:pt idx="4">
                  <c:v>80.490196078431381</c:v>
                </c:pt>
                <c:pt idx="5">
                  <c:v>81.666666666666671</c:v>
                </c:pt>
                <c:pt idx="6">
                  <c:v>82.745098039215677</c:v>
                </c:pt>
                <c:pt idx="7">
                  <c:v>82.450980392156865</c:v>
                </c:pt>
                <c:pt idx="8">
                  <c:v>79.411764705882348</c:v>
                </c:pt>
              </c:numCache>
            </c:numRef>
          </c:val>
          <c:extLst>
            <c:ext xmlns:c16="http://schemas.microsoft.com/office/drawing/2014/chart" uri="{C3380CC4-5D6E-409C-BE32-E72D297353CC}">
              <c16:uniqueId val="{00000000-9F6F-4AAE-BF8E-9425F4AE4B1D}"/>
            </c:ext>
          </c:extLst>
        </c:ser>
        <c:dLbls>
          <c:showLegendKey val="0"/>
          <c:showVal val="0"/>
          <c:showCatName val="0"/>
          <c:showSerName val="0"/>
          <c:showPercent val="0"/>
          <c:showBubbleSize val="0"/>
        </c:dLbls>
        <c:gapWidth val="182"/>
        <c:axId val="1299215999"/>
        <c:axId val="1293314735"/>
      </c:barChart>
      <c:catAx>
        <c:axId val="129921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3314735"/>
        <c:crosses val="autoZero"/>
        <c:auto val="1"/>
        <c:lblAlgn val="ctr"/>
        <c:lblOffset val="100"/>
        <c:noMultiLvlLbl val="0"/>
      </c:catAx>
      <c:valAx>
        <c:axId val="12933147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921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Indeks Perilaku Antikorupsi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Antikorupsi!$F$5</c:f>
              <c:strCache>
                <c:ptCount val="1"/>
                <c:pt idx="0">
                  <c:v>Indeks</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Antikorupsi!$B$6:$B$14</c:f>
              <c:strCache>
                <c:ptCount val="9"/>
                <c:pt idx="0">
                  <c:v>Pendapatan tambahan keluarga yang tidak dijelaskan</c:v>
                </c:pt>
                <c:pt idx="1">
                  <c:v>Kendaraan dinas untuk pribadi</c:v>
                </c:pt>
                <c:pt idx="2">
                  <c:v>Imbalan politik via keluarga</c:v>
                </c:pt>
                <c:pt idx="3">
                  <c:v>Nepotisme pelayanan</c:v>
                </c:pt>
                <c:pt idx="4">
                  <c:v>Gaya hidup di luar kemampuan</c:v>
                </c:pt>
                <c:pt idx="5">
                  <c:v>Pemberian berlebih saat hajatan</c:v>
                </c:pt>
                <c:pt idx="6">
                  <c:v>RT/RW membagikan imbalan</c:v>
                </c:pt>
                <c:pt idx="7">
                  <c:v>Bantuan tanpa cek asal-usul</c:v>
                </c:pt>
                <c:pt idx="8">
                  <c:v>Bansos tidak sesuai kriteria</c:v>
                </c:pt>
              </c:strCache>
            </c:strRef>
          </c:cat>
          <c:val>
            <c:numRef>
              <c:f>Antikorupsi!$F$6:$F$14</c:f>
              <c:numCache>
                <c:formatCode>0.00</c:formatCode>
                <c:ptCount val="9"/>
                <c:pt idx="0">
                  <c:v>77.352941176470594</c:v>
                </c:pt>
                <c:pt idx="1">
                  <c:v>80.196078431372555</c:v>
                </c:pt>
                <c:pt idx="2">
                  <c:v>84.313725490196077</c:v>
                </c:pt>
                <c:pt idx="3">
                  <c:v>80.098039215686285</c:v>
                </c:pt>
                <c:pt idx="4">
                  <c:v>88.627450980392155</c:v>
                </c:pt>
                <c:pt idx="5">
                  <c:v>80.588235294117652</c:v>
                </c:pt>
                <c:pt idx="6">
                  <c:v>83.529411764705884</c:v>
                </c:pt>
                <c:pt idx="7">
                  <c:v>84.607843137254903</c:v>
                </c:pt>
                <c:pt idx="8">
                  <c:v>83.921568627450981</c:v>
                </c:pt>
              </c:numCache>
            </c:numRef>
          </c:val>
          <c:extLst>
            <c:ext xmlns:c16="http://schemas.microsoft.com/office/drawing/2014/chart" uri="{C3380CC4-5D6E-409C-BE32-E72D297353CC}">
              <c16:uniqueId val="{00000000-2844-4DE3-8951-A756B06C28F0}"/>
            </c:ext>
          </c:extLst>
        </c:ser>
        <c:dLbls>
          <c:showLegendKey val="0"/>
          <c:showVal val="0"/>
          <c:showCatName val="0"/>
          <c:showSerName val="0"/>
          <c:showPercent val="0"/>
          <c:showBubbleSize val="0"/>
        </c:dLbls>
        <c:gapWidth val="182"/>
        <c:axId val="1297967551"/>
        <c:axId val="1293317135"/>
      </c:barChart>
      <c:catAx>
        <c:axId val="129796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3317135"/>
        <c:crosses val="autoZero"/>
        <c:auto val="1"/>
        <c:lblAlgn val="ctr"/>
        <c:lblOffset val="100"/>
        <c:noMultiLvlLbl val="0"/>
      </c:catAx>
      <c:valAx>
        <c:axId val="12933171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796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Indeks Pemahaman dan Partisipasi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Pemahaman!$F$5</c:f>
              <c:strCache>
                <c:ptCount val="1"/>
                <c:pt idx="0">
                  <c:v>Indeks 25–100</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Pemahaman!$B$6:$B$17</c:f>
              <c:strCache>
                <c:ptCount val="12"/>
                <c:pt idx="0">
                  <c:v>Integritas perangkat</c:v>
                </c:pt>
                <c:pt idx="1">
                  <c:v>Sosialisasi antikorupsi</c:v>
                </c:pt>
                <c:pt idx="2">
                  <c:v>Kesediaan menjadi teladan 9 nilai</c:v>
                </c:pt>
                <c:pt idx="3">
                  <c:v>Budaya lokal pencegahan korupsi</c:v>
                </c:pt>
                <c:pt idx="4">
                  <c:v>Peran tokoh masyarakat</c:v>
                </c:pt>
                <c:pt idx="5">
                  <c:v>Pengetahuan maklumat pelayanan</c:v>
                </c:pt>
                <c:pt idx="6">
                  <c:v>Dukungan terhadap maklumat</c:v>
                </c:pt>
                <c:pt idx="7">
                  <c:v>Pengetahuan standar/SOP</c:v>
                </c:pt>
                <c:pt idx="8">
                  <c:v>Akses informasi SPM</c:v>
                </c:pt>
                <c:pt idx="9">
                  <c:v>Pengetahuan APBDes</c:v>
                </c:pt>
                <c:pt idx="10">
                  <c:v>Partisipasi RKP Desa</c:v>
                </c:pt>
                <c:pt idx="11">
                  <c:v>Pengetahuan keterlibatan pembangunan</c:v>
                </c:pt>
              </c:strCache>
            </c:strRef>
          </c:cat>
          <c:val>
            <c:numRef>
              <c:f>Pemahaman!$F$6:$F$17</c:f>
              <c:numCache>
                <c:formatCode>0.00</c:formatCode>
                <c:ptCount val="12"/>
                <c:pt idx="0">
                  <c:v>92.058823529411754</c:v>
                </c:pt>
                <c:pt idx="1">
                  <c:v>74.509803921568633</c:v>
                </c:pt>
                <c:pt idx="2">
                  <c:v>73.039215686274503</c:v>
                </c:pt>
                <c:pt idx="3">
                  <c:v>71.568627450980387</c:v>
                </c:pt>
                <c:pt idx="4">
                  <c:v>72.156862745098039</c:v>
                </c:pt>
                <c:pt idx="5">
                  <c:v>72.254901960784309</c:v>
                </c:pt>
                <c:pt idx="6">
                  <c:v>84.411764705882348</c:v>
                </c:pt>
                <c:pt idx="7">
                  <c:v>72.156862745098039</c:v>
                </c:pt>
                <c:pt idx="8">
                  <c:v>83.333333333333343</c:v>
                </c:pt>
                <c:pt idx="9">
                  <c:v>67.745098039215691</c:v>
                </c:pt>
                <c:pt idx="10">
                  <c:v>52.549019607843142</c:v>
                </c:pt>
                <c:pt idx="11">
                  <c:v>69.117647058823522</c:v>
                </c:pt>
              </c:numCache>
            </c:numRef>
          </c:val>
          <c:extLst>
            <c:ext xmlns:c16="http://schemas.microsoft.com/office/drawing/2014/chart" uri="{C3380CC4-5D6E-409C-BE32-E72D297353CC}">
              <c16:uniqueId val="{00000000-5CA0-4ECF-BA40-0FAF8DD7A2DD}"/>
            </c:ext>
          </c:extLst>
        </c:ser>
        <c:dLbls>
          <c:showLegendKey val="0"/>
          <c:showVal val="0"/>
          <c:showCatName val="0"/>
          <c:showSerName val="0"/>
          <c:showPercent val="0"/>
          <c:showBubbleSize val="0"/>
        </c:dLbls>
        <c:gapWidth val="182"/>
        <c:axId val="1303193263"/>
        <c:axId val="1293334895"/>
      </c:barChart>
      <c:catAx>
        <c:axId val="1303193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93334895"/>
        <c:crosses val="autoZero"/>
        <c:auto val="1"/>
        <c:lblAlgn val="ctr"/>
        <c:lblOffset val="100"/>
        <c:noMultiLvlLbl val="0"/>
      </c:catAx>
      <c:valAx>
        <c:axId val="1293334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319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Indeks Konversi (Nilai Skala 1–4 ×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lotArea>
      <c:layout/>
      <c:barChart>
        <c:barDir val="bar"/>
        <c:grouping val="clustered"/>
        <c:varyColors val="0"/>
        <c:ser>
          <c:idx val="0"/>
          <c:order val="0"/>
          <c:tx>
            <c:strRef>
              <c:f>'Publikasi Grafis'!$C$13</c:f>
              <c:strCache>
                <c:ptCount val="1"/>
                <c:pt idx="0">
                  <c:v>Indeks 25–100</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'Publikasi Grafis'!$A$14:$A$16</c:f>
              <c:strCache>
                <c:ptCount val="3"/>
                <c:pt idx="0">
                  <c:v>IKM Layanan</c:v>
                </c:pt>
                <c:pt idx="1">
                  <c:v>Antikorupsi</c:v>
                </c:pt>
                <c:pt idx="2">
                  <c:v>Pemahaman Umum</c:v>
                </c:pt>
              </c:strCache>
            </c:strRef>
          </c:cat>
          <c:val>
            <c:numRef>
              <c:f>'Publikasi Grafis'!$C$14:$C$16</c:f>
              <c:numCache>
                <c:formatCode>0.00</c:formatCode>
                <c:ptCount val="3"/>
                <c:pt idx="0">
                  <c:v>83.017429193899773</c:v>
                </c:pt>
                <c:pt idx="1">
                  <c:v>82.581699346405216</c:v>
                </c:pt>
                <c:pt idx="2">
                  <c:v>73.74183006535948</c:v>
                </c:pt>
              </c:numCache>
            </c:numRef>
          </c:val>
          <c:extLst>
            <c:ext xmlns:c16="http://schemas.microsoft.com/office/drawing/2014/chart" uri="{C3380CC4-5D6E-409C-BE32-E72D297353CC}">
              <c16:uniqueId val="{00000000-1D92-4B07-9F06-1ED15F35DEA4}"/>
            </c:ext>
          </c:extLst>
        </c:ser>
        <c:dLbls>
          <c:showLegendKey val="0"/>
          <c:showVal val="0"/>
          <c:showCatName val="0"/>
          <c:showSerName val="0"/>
          <c:showPercent val="0"/>
          <c:showBubbleSize val="0"/>
        </c:dLbls>
        <c:gapWidth val="182"/>
        <c:axId val="1300641247"/>
        <c:axId val="1272422800"/>
      </c:barChart>
      <c:catAx>
        <c:axId val="130064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272422800"/>
        <c:crosses val="autoZero"/>
        <c:auto val="1"/>
        <c:lblAlgn val="ctr"/>
        <c:lblOffset val="100"/>
        <c:noMultiLvlLbl val="0"/>
      </c:catAx>
      <c:valAx>
        <c:axId val="12724228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30064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0</xdr:rowOff>
    </xdr:from>
    <xdr:to>
      <xdr:col>10</xdr:col>
      <xdr:colOff>0</xdr:colOff>
      <xdr:row>51</xdr:row>
      <xdr:rowOff>0</xdr:rowOff>
    </xdr:to>
    <xdr:graphicFrame macro="">
      <xdr:nvGraphicFramePr>
        <xdr:cNvPr id="2" name="Perbandingan Indeks">
          <a:extLst>
            <a:ext uri="{FF2B5EF4-FFF2-40B4-BE49-F238E27FC236}">
              <a16:creationId xmlns:a16="http://schemas.microsoft.com/office/drawing/2014/main" id="{FBB37B97-364E-EC78-E530-630445639F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20</xdr:row>
      <xdr:rowOff>0</xdr:rowOff>
    </xdr:from>
    <xdr:to>
      <xdr:col>10</xdr:col>
      <xdr:colOff>0</xdr:colOff>
      <xdr:row>38</xdr:row>
      <xdr:rowOff>0</xdr:rowOff>
    </xdr:to>
    <xdr:graphicFrame macro="">
      <xdr:nvGraphicFramePr>
        <xdr:cNvPr id="2" name="Prioritas Unsur SKM">
          <a:extLst>
            <a:ext uri="{FF2B5EF4-FFF2-40B4-BE49-F238E27FC236}">
              <a16:creationId xmlns:a16="http://schemas.microsoft.com/office/drawing/2014/main" id="{5875DEA4-49A0-5C0B-E9F5-454674B0E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19</xdr:row>
      <xdr:rowOff>0</xdr:rowOff>
    </xdr:from>
    <xdr:to>
      <xdr:col>10</xdr:col>
      <xdr:colOff>0</xdr:colOff>
      <xdr:row>37</xdr:row>
      <xdr:rowOff>0</xdr:rowOff>
    </xdr:to>
    <xdr:graphicFrame macro="">
      <xdr:nvGraphicFramePr>
        <xdr:cNvPr id="2" name="Prioritas Antikorupsi">
          <a:extLst>
            <a:ext uri="{FF2B5EF4-FFF2-40B4-BE49-F238E27FC236}">
              <a16:creationId xmlns:a16="http://schemas.microsoft.com/office/drawing/2014/main" id="{BA3FBE66-1102-11DE-0A12-11955E37F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29</xdr:row>
      <xdr:rowOff>0</xdr:rowOff>
    </xdr:from>
    <xdr:to>
      <xdr:col>10</xdr:col>
      <xdr:colOff>0</xdr:colOff>
      <xdr:row>47</xdr:row>
      <xdr:rowOff>0</xdr:rowOff>
    </xdr:to>
    <xdr:graphicFrame macro="">
      <xdr:nvGraphicFramePr>
        <xdr:cNvPr id="2" name="Prioritas Pemahaman">
          <a:extLst>
            <a:ext uri="{FF2B5EF4-FFF2-40B4-BE49-F238E27FC236}">
              <a16:creationId xmlns:a16="http://schemas.microsoft.com/office/drawing/2014/main" id="{6D7679A1-76F5-F7B6-3958-E6DE55DC9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12</xdr:row>
      <xdr:rowOff>0</xdr:rowOff>
    </xdr:from>
    <xdr:to>
      <xdr:col>10</xdr:col>
      <xdr:colOff>0</xdr:colOff>
      <xdr:row>25</xdr:row>
      <xdr:rowOff>0</xdr:rowOff>
    </xdr:to>
    <xdr:graphicFrame macro="">
      <xdr:nvGraphicFramePr>
        <xdr:cNvPr id="3" name="Grafik Hasil Survei">
          <a:extLst>
            <a:ext uri="{FF2B5EF4-FFF2-40B4-BE49-F238E27FC236}">
              <a16:creationId xmlns:a16="http://schemas.microsoft.com/office/drawing/2014/main" id="{9CA60D96-FF61-8847-5F1B-4BBBE7A56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S256" totalsRowShown="0" headerRowDxfId="3">
  <autoFilter ref="A1:AS256" xr:uid="{00000000-0009-0000-0100-000001000000}"/>
  <tableColumns count="45">
    <tableColumn id="1" xr3:uid="{00000000-0010-0000-0000-000001000000}" name="ID" dataDxfId="45"/>
    <tableColumn id="2" xr3:uid="{00000000-0010-0000-0000-000002000000}" name="Start time" dataDxfId="2"/>
    <tableColumn id="3" xr3:uid="{00000000-0010-0000-0000-000003000000}" name="Completion time" dataDxfId="1"/>
    <tableColumn id="4" xr3:uid="{00000000-0010-0000-0000-000004000000}" name="Email" dataDxfId="44"/>
    <tableColumn id="5" xr3:uid="{00000000-0010-0000-0000-000005000000}" name="Name" dataDxfId="43"/>
    <tableColumn id="6" xr3:uid="{00000000-0010-0000-0000-000006000000}" name="Last modified time" dataDxfId="42"/>
    <tableColumn id="7" xr3:uid="{00000000-0010-0000-0000-000007000000}" name="Jenis Kelamin" dataDxfId="41"/>
    <tableColumn id="8" xr3:uid="{00000000-0010-0000-0000-000008000000}" name="Usia" dataDxfId="40"/>
    <tableColumn id="9" xr3:uid="{00000000-0010-0000-0000-000009000000}" name="Pendidikan" dataDxfId="39"/>
    <tableColumn id="10" xr3:uid="{00000000-0010-0000-0000-00000A000000}" name="Pekerjaan" dataDxfId="38"/>
    <tableColumn id="11" xr3:uid="{00000000-0010-0000-0000-00000B000000}" name="Jenis Layanan yang diajukan (dapat memilih 3 jenis layanan)" dataDxfId="37"/>
    <tableColumn id="12" xr3:uid="{00000000-0010-0000-0000-00000C000000}" name="Apakah persyaratan pengajuan pelayanan yang ada pada Kantor Desa Mertasari telah mempermudah  Anda?" dataDxfId="36"/>
    <tableColumn id="13" xr3:uid="{00000000-0010-0000-0000-00000D000000}" name="Seberapa mudahkan prosedur pelayanan yang ada di Desa Mertasari untuk setiap pengajuan permohonan layanan?" dataDxfId="35"/>
    <tableColumn id="14" xr3:uid="{00000000-0010-0000-0000-00000E000000}" name="Seberapa cepat waktu yang dibutuhkan dalam proses layanan yang diberikan oleh petugas di Kantor Desa Mertasari?" dataDxfId="34"/>
    <tableColumn id="15" xr3:uid="{00000000-0010-0000-0000-00000F000000}" name="Menurut  Anda, berapa tarif/biaya layanan yang diterapkan atas layanan yang diberikan oleh Pemerintah Desa Mertasari?" dataDxfId="33"/>
    <tableColumn id="16" xr3:uid="{00000000-0010-0000-0000-000010000000}" name="Bagaimana pendapat saudara tentang kesesuaian produk pelayanan antara yang tercantum dalam standar  hasil pelayanan dengan hasil yang diberikan?" dataDxfId="32"/>
    <tableColumn id="17" xr3:uid="{00000000-0010-0000-0000-000011000000}" name="Bagaimana pendapat  Anda tentang kemampuan perangkat desa dalam memberikan penjelasan mengenai prosedur layanan?" dataDxfId="31"/>
    <tableColumn id="18" xr3:uid="{00000000-0010-0000-0000-000012000000}" name="Bagaimana pendapat Anda tentang kesopanan dan keramahan perangkat desa dalam memberikan layanan?" dataDxfId="30"/>
    <tableColumn id="19" xr3:uid="{00000000-0010-0000-0000-000013000000}" name="Menurut Anda, apakah telah tersedia sarana prasarana (komputer, jaringan internet dan lainnya) yang mendukung efektivitas dan efisiensi pelayanan di Pemerintah Desa Mertasari?" dataDxfId="29"/>
    <tableColumn id="20" xr3:uid="{00000000-0010-0000-0000-000014000000}" name="Bagaimana pendapat  Anda tentang ketersediaan dan penanganan layanan pengaduan masyarakat?" dataDxfId="28"/>
    <tableColumn id="21" xr3:uid="{00000000-0010-0000-0000-000015000000}" name="Bagaimana pendapat Saudara tentang perilaku Sikap kita terhadap seseorang yang menerima uang tambahan dari pasangan (suami/istri) di luar gaji/penghasilan yang biasa diterima, tanpa mempertanyakan..." dataDxfId="27"/>
    <tableColumn id="22" xr3:uid="{00000000-0010-0000-0000-000016000000}" name="Bagaimana pendapat Saudara tentang perilaku Seorang Perangkat Desa menggunakan kendaraan dinas untuk keperluan keluarga / pribadi.?" dataDxfId="26"/>
    <tableColumn id="23" xr3:uid="{00000000-0010-0000-0000-000017000000}" name="Bagaimana pendapat Saudara tentang perilaku Seseorang mengajak anggota keluarga dalam kampanye Pilkades/Pilkada/Pemilu demi mendapatkan lebih banyak imbalan (uang, barang, sembako, pulsa dll).?" dataDxfId="25"/>
    <tableColumn id="24" xr3:uid="{00000000-0010-0000-0000-000018000000}" name="Bagaimana pendapat Saudara tentang perilaku Seseorang memanfaatkan hubungan keluarga yang mempunyai kewenangan agar dipermudah dalam pelayanan publik.?" dataDxfId="24"/>
    <tableColumn id="25" xr3:uid="{00000000-0010-0000-0000-000019000000}" name="Bagaimana pendapat Saudara tentang perilaku Seseorang bergaya hidup mewah di luar dari kemampuan agar diakui/dianggap berada oleh masyarkat.?" dataDxfId="23"/>
    <tableColumn id="26" xr3:uid="{00000000-0010-0000-0000-00001A000000}" name="Bagaimana pendapat Saudara tentang perilaku Suatu keluarga memberi uang/barang/fasilitas yang lebih kepada Pejabat atau Perangkat Desa ketika melaksanakan hajatan (penikahan, khitanan, kematian dl..." dataDxfId="22"/>
    <tableColumn id="27" xr3:uid="{00000000-0010-0000-0000-00001B000000}" name="Bagaimana pendapat Saudara tentang perilaku Ketua RT / RW membantu calon Kepala Desa/Kepala Daerah/Legislatif untuk membagikan uang/barang/fasilitas kepada Masyarakat agar dipilih.?" dataDxfId="21"/>
    <tableColumn id="28" xr3:uid="{00000000-0010-0000-0000-00001C000000}" name="Bagaimana pendapat Saudara tentang perilaku Kelompok/Lembaga Masyarakat menerima sumbangan/bantuan/pemberian/hibah dari seseorang tanpa mempertanyakan asal usulnya.?" dataDxfId="20"/>
    <tableColumn id="29" xr3:uid="{00000000-0010-0000-0000-00001D000000}" name="Bagaimana pendapat Saudara tentang perilaku Ketua RT/RW/Kepala Desa mengusulkan warganya yang tidak sesuai kriteria untuk mendapatkan dana bantuan sosial.?" dataDxfId="19"/>
    <tableColumn id="30" xr3:uid="{00000000-0010-0000-0000-00001E000000}" name="Apakah Perangkat Desa Mertasari dalam memberikan pelayanan menerapkan prinsip berintegritas dan berperilaku sesuai etika?" dataDxfId="18"/>
    <tableColumn id="31" xr3:uid="{00000000-0010-0000-0000-00001F000000}" name="Apakah Anda pernah mengetahui adanya sosialisasi antikorupsi di Desa Mertasari?" dataDxfId="17"/>
    <tableColumn id="32" xr3:uid="{00000000-0010-0000-0000-000020000000}" name="Apakah Anda bersedia memberikan contoh dalam mengimplementasikan 9 nilai antikorupsi dalam kehidupan sehari-hari?" dataDxfId="16"/>
    <tableColumn id="33" xr3:uid="{00000000-0010-0000-0000-000021000000}" name="Apakah Anda mengetahui adanya adat istiadat / budaya yang mendorong upaya pencegahan korupsi di Desa Mertasari?" dataDxfId="15"/>
    <tableColumn id="34" xr3:uid="{00000000-0010-0000-0000-000022000000}" name="Apakah Anda mengetahui peran Tokoh masyarakat, tokoh agama, tokoh adat, tokoh pemuda dan kaum perempuan dalam mendorong upaya pencegahan korupsi di Desa Mertasari?" dataDxfId="14"/>
    <tableColumn id="35" xr3:uid="{00000000-0010-0000-0000-000023000000}" name="Apakah Anda mengetahui adanya Maklumat Pelayanan di Kantor Desa Mertasari?" dataDxfId="13"/>
    <tableColumn id="36" xr3:uid="{00000000-0010-0000-0000-000024000000}" name="Apakah Anda sepakat dengan kalimat &quot;Dengan ini, kami menyatakan sanggup menyelenggarakan pelayanan dengan sebaik-baiknya sesuai standar pelayanan yang telah ditetapkan, serta melakukan upaya perba..." dataDxfId="12"/>
    <tableColumn id="37" xr3:uid="{00000000-0010-0000-0000-000025000000}" name="Apakah Anda mengetahui adanya Standar Pelayanan / SOP Pelayanan di Kantor Desa Mertasari?" dataDxfId="11"/>
    <tableColumn id="38" xr3:uid="{00000000-0010-0000-0000-000026000000}" name="Darimanakah anda memperoleh informasi mengenai Standar Pelayanan Minimal (kesehatan, pendidikan, sosial, lingkungan, kependudukan, keuangan dan pelayanan lainnya)?" dataDxfId="10"/>
    <tableColumn id="39" xr3:uid="{00000000-0010-0000-0000-000027000000}" name="Menurut Anda, apakah informasi mengenai Standar Pelayanan Minimal (kesehatan, pendidikan, sosial, lingkungan, kependudukan, keuangan dan pelayanan lainnya) telah tersedia dan dapat diakes?" dataDxfId="9"/>
    <tableColumn id="40" xr3:uid="{00000000-0010-0000-0000-000028000000}" name="Media Pengaduan Masyarakat apa yang sering Anda gunakan untuk menyampaikan pengaduan kepada Pemerintah Desa Mertasari?" dataDxfId="8"/>
    <tableColumn id="41" xr3:uid="{00000000-0010-0000-0000-000029000000}" name="Apakah Anda mengetahui informasi tentang Anggaran Pendapatan dan Belanja Desa Mertasari?" dataDxfId="7"/>
    <tableColumn id="42" xr3:uid="{00000000-0010-0000-0000-00002A000000}" name="Apakah Anda terlibat dan berpartisipasi dalam penyusunan Rencana Kerja Pemerintah (RKP) Desa Mertasari?" dataDxfId="6"/>
    <tableColumn id="43" xr3:uid="{00000000-0010-0000-0000-00002B000000}" name="Apakah Anda mengetahui keterlibatan lembaga desa dan masyarakat dalam kegiatan pembangunan di Desa Mertasari?" dataDxfId="5"/>
    <tableColumn id="44" xr3:uid="{00000000-0010-0000-0000-00002C000000}" name="Seberapa puas Anda dengan Pelayanan yang diberikan oleh Pemerintah Desa Mertasari?" dataDxfId="0"/>
    <tableColumn id="45" xr3:uid="{00000000-0010-0000-0000-00002D000000}" name="Saran dan Kritik untuk perbaikan layanan publik Pemerintah Desa Mertasari"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322E-AB04-4DDF-8DE9-7E9C6DA177BE}">
  <dimension ref="A1:H29"/>
  <sheetViews>
    <sheetView topLeftCell="A6" workbookViewId="0">
      <selection activeCell="AR1" sqref="AR1"/>
    </sheetView>
  </sheetViews>
  <sheetFormatPr defaultRowHeight="14.4" x14ac:dyDescent="0.3"/>
  <cols>
    <col min="1" max="1" width="37" customWidth="1"/>
    <col min="2" max="2" width="64.77734375" customWidth="1"/>
    <col min="3" max="8" width="7.44140625" customWidth="1"/>
  </cols>
  <sheetData>
    <row r="1" spans="1:8" ht="25.8" x14ac:dyDescent="0.5">
      <c r="A1" s="6" t="s">
        <v>459</v>
      </c>
      <c r="B1" s="6"/>
      <c r="C1" s="6"/>
      <c r="D1" s="6"/>
      <c r="E1" s="6"/>
      <c r="F1" s="6"/>
      <c r="G1" s="6"/>
      <c r="H1" s="6"/>
    </row>
    <row r="2" spans="1:8" x14ac:dyDescent="0.3">
      <c r="A2" s="7" t="s">
        <v>460</v>
      </c>
      <c r="B2" s="7"/>
      <c r="C2" s="7"/>
      <c r="D2" s="7"/>
      <c r="E2" s="7"/>
      <c r="F2" s="7"/>
      <c r="G2" s="7"/>
      <c r="H2" s="7"/>
    </row>
    <row r="4" spans="1:8" x14ac:dyDescent="0.3">
      <c r="A4" s="8" t="s">
        <v>461</v>
      </c>
      <c r="B4" s="8"/>
      <c r="C4" s="8"/>
      <c r="D4" s="8"/>
      <c r="E4" s="8"/>
      <c r="F4" s="8"/>
      <c r="G4" s="8"/>
      <c r="H4" s="8"/>
    </row>
    <row r="5" spans="1:8" x14ac:dyDescent="0.3">
      <c r="A5" s="9" t="s">
        <v>462</v>
      </c>
      <c r="B5" s="2" t="s">
        <v>463</v>
      </c>
    </row>
    <row r="6" spans="1:8" x14ac:dyDescent="0.3">
      <c r="A6" s="9" t="s">
        <v>464</v>
      </c>
      <c r="B6" s="2" t="s">
        <v>465</v>
      </c>
    </row>
    <row r="7" spans="1:8" x14ac:dyDescent="0.3">
      <c r="A7" s="9" t="s">
        <v>466</v>
      </c>
      <c r="B7" s="2" t="s">
        <v>467</v>
      </c>
    </row>
    <row r="8" spans="1:8" x14ac:dyDescent="0.3">
      <c r="A8" s="9" t="s">
        <v>468</v>
      </c>
      <c r="B8" s="2" t="s">
        <v>469</v>
      </c>
    </row>
    <row r="9" spans="1:8" x14ac:dyDescent="0.3">
      <c r="A9" s="9" t="s">
        <v>470</v>
      </c>
      <c r="B9" s="2" t="s">
        <v>471</v>
      </c>
    </row>
    <row r="10" spans="1:8" x14ac:dyDescent="0.3">
      <c r="A10" s="9" t="s">
        <v>472</v>
      </c>
      <c r="B10" s="2" t="s">
        <v>473</v>
      </c>
    </row>
    <row r="12" spans="1:8" x14ac:dyDescent="0.3">
      <c r="A12" s="8" t="s">
        <v>474</v>
      </c>
      <c r="B12" s="8"/>
      <c r="C12" s="8"/>
      <c r="D12" s="8"/>
      <c r="E12" s="8"/>
      <c r="F12" s="8"/>
      <c r="G12" s="8"/>
      <c r="H12" s="8"/>
    </row>
    <row r="13" spans="1:8" x14ac:dyDescent="0.3">
      <c r="A13" s="10" t="s">
        <v>475</v>
      </c>
      <c r="B13" s="10"/>
      <c r="C13" s="10"/>
      <c r="D13" s="10"/>
      <c r="E13" s="10"/>
      <c r="F13" s="10"/>
      <c r="G13" s="10"/>
      <c r="H13" s="10"/>
    </row>
    <row r="14" spans="1:8" x14ac:dyDescent="0.3">
      <c r="A14" s="10"/>
      <c r="B14" s="10"/>
      <c r="C14" s="10"/>
      <c r="D14" s="10"/>
      <c r="E14" s="10"/>
      <c r="F14" s="10"/>
      <c r="G14" s="10"/>
      <c r="H14" s="10"/>
    </row>
    <row r="15" spans="1:8" x14ac:dyDescent="0.3">
      <c r="A15" s="10"/>
      <c r="B15" s="10"/>
      <c r="C15" s="10"/>
      <c r="D15" s="10"/>
      <c r="E15" s="10"/>
      <c r="F15" s="10"/>
      <c r="G15" s="10"/>
      <c r="H15" s="10"/>
    </row>
    <row r="16" spans="1:8" x14ac:dyDescent="0.3">
      <c r="A16" s="10"/>
      <c r="B16" s="10"/>
      <c r="C16" s="10"/>
      <c r="D16" s="10"/>
      <c r="E16" s="10"/>
      <c r="F16" s="10"/>
      <c r="G16" s="10"/>
      <c r="H16" s="10"/>
    </row>
    <row r="18" spans="1:8" x14ac:dyDescent="0.3">
      <c r="A18" s="8" t="s">
        <v>603</v>
      </c>
      <c r="B18" s="8"/>
      <c r="C18" s="8"/>
      <c r="D18" s="8"/>
      <c r="E18" s="8"/>
      <c r="F18" s="8"/>
      <c r="G18" s="8"/>
      <c r="H18" s="8"/>
    </row>
    <row r="19" spans="1:8" ht="28.8" x14ac:dyDescent="0.3">
      <c r="A19" s="26" t="s">
        <v>604</v>
      </c>
      <c r="B19" s="21" t="s">
        <v>605</v>
      </c>
    </row>
    <row r="20" spans="1:8" ht="28.8" x14ac:dyDescent="0.3">
      <c r="A20" s="26" t="s">
        <v>606</v>
      </c>
      <c r="B20" s="21" t="s">
        <v>607</v>
      </c>
    </row>
    <row r="21" spans="1:8" ht="28.8" x14ac:dyDescent="0.3">
      <c r="A21" s="26" t="s">
        <v>608</v>
      </c>
      <c r="B21" s="21" t="s">
        <v>609</v>
      </c>
    </row>
    <row r="22" spans="1:8" ht="28.8" x14ac:dyDescent="0.3">
      <c r="A22" s="26" t="s">
        <v>610</v>
      </c>
      <c r="B22" s="21" t="s">
        <v>611</v>
      </c>
    </row>
    <row r="23" spans="1:8" ht="28.8" x14ac:dyDescent="0.3">
      <c r="A23" s="26" t="s">
        <v>612</v>
      </c>
      <c r="B23" s="21" t="s">
        <v>613</v>
      </c>
    </row>
    <row r="25" spans="1:8" x14ac:dyDescent="0.3">
      <c r="A25" s="8" t="s">
        <v>614</v>
      </c>
      <c r="B25" s="8"/>
      <c r="C25" s="8"/>
      <c r="D25" s="8"/>
      <c r="E25" s="8"/>
      <c r="F25" s="8"/>
      <c r="G25" s="8"/>
      <c r="H25" s="8"/>
    </row>
    <row r="26" spans="1:8" x14ac:dyDescent="0.3">
      <c r="A26" s="28" t="s">
        <v>615</v>
      </c>
      <c r="B26" s="28"/>
      <c r="C26" s="28"/>
      <c r="D26" s="28"/>
      <c r="E26" s="28"/>
      <c r="F26" s="28"/>
      <c r="G26" s="28"/>
      <c r="H26" s="28"/>
    </row>
    <row r="27" spans="1:8" x14ac:dyDescent="0.3">
      <c r="A27" s="28"/>
      <c r="B27" s="28"/>
      <c r="C27" s="28"/>
      <c r="D27" s="28"/>
      <c r="E27" s="28"/>
      <c r="F27" s="28"/>
      <c r="G27" s="28"/>
      <c r="H27" s="28"/>
    </row>
    <row r="28" spans="1:8" x14ac:dyDescent="0.3">
      <c r="A28" s="28"/>
      <c r="B28" s="28"/>
      <c r="C28" s="28"/>
      <c r="D28" s="28"/>
      <c r="E28" s="28"/>
      <c r="F28" s="28"/>
      <c r="G28" s="28"/>
      <c r="H28" s="28"/>
    </row>
    <row r="29" spans="1:8" x14ac:dyDescent="0.3">
      <c r="A29" s="28"/>
      <c r="B29" s="28"/>
      <c r="C29" s="28"/>
      <c r="D29" s="28"/>
      <c r="E29" s="28"/>
      <c r="F29" s="28"/>
      <c r="G29" s="28"/>
      <c r="H29" s="28"/>
    </row>
  </sheetData>
  <mergeCells count="8">
    <mergeCell ref="A25:H25"/>
    <mergeCell ref="A26:H29"/>
    <mergeCell ref="A1:H1"/>
    <mergeCell ref="A2:H2"/>
    <mergeCell ref="A4:H4"/>
    <mergeCell ref="A12:H12"/>
    <mergeCell ref="A13:H16"/>
    <mergeCell ref="A18:H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23A2-EFF1-4F0F-A048-C72DB7CA8520}">
  <dimension ref="A1:J65"/>
  <sheetViews>
    <sheetView topLeftCell="A55" workbookViewId="0">
      <selection activeCell="AR1" sqref="AR1"/>
    </sheetView>
  </sheetViews>
  <sheetFormatPr defaultRowHeight="14.4" x14ac:dyDescent="0.3"/>
  <cols>
    <col min="1" max="1" width="24.109375" customWidth="1"/>
    <col min="2" max="2" width="37" customWidth="1"/>
    <col min="3" max="3" width="18.5546875" customWidth="1"/>
    <col min="4" max="4" width="16.6640625" customWidth="1"/>
    <col min="5" max="5" width="13.88671875" customWidth="1"/>
    <col min="6" max="6" width="18.5546875" customWidth="1"/>
    <col min="7" max="9" width="13.88671875" customWidth="1"/>
    <col min="10" max="10" width="20.33203125" customWidth="1"/>
  </cols>
  <sheetData>
    <row r="1" spans="1:10" ht="23.4" x14ac:dyDescent="0.45">
      <c r="A1" s="11" t="s">
        <v>563</v>
      </c>
      <c r="B1" s="11"/>
      <c r="C1" s="11"/>
      <c r="D1" s="11"/>
      <c r="E1" s="11"/>
      <c r="F1" s="11"/>
      <c r="G1" s="11"/>
      <c r="H1" s="11"/>
      <c r="I1" s="11"/>
      <c r="J1" s="11"/>
    </row>
    <row r="2" spans="1:10" x14ac:dyDescent="0.3">
      <c r="A2" s="12" t="s">
        <v>564</v>
      </c>
      <c r="B2" s="12"/>
      <c r="C2" s="12"/>
      <c r="D2" s="12"/>
      <c r="E2" s="12"/>
      <c r="F2" s="12"/>
      <c r="G2" s="12"/>
      <c r="H2" s="12"/>
      <c r="I2" s="12"/>
      <c r="J2" s="12"/>
    </row>
    <row r="4" spans="1:10" x14ac:dyDescent="0.3">
      <c r="A4" s="8" t="s">
        <v>565</v>
      </c>
      <c r="B4" s="8"/>
      <c r="C4" s="8"/>
      <c r="D4" s="8"/>
      <c r="E4" s="8"/>
      <c r="F4" s="8"/>
      <c r="G4" s="8"/>
      <c r="H4" s="8"/>
      <c r="I4" s="8"/>
      <c r="J4" s="8"/>
    </row>
    <row r="5" spans="1:10" x14ac:dyDescent="0.3">
      <c r="A5" s="5" t="s">
        <v>566</v>
      </c>
      <c r="B5" s="5"/>
      <c r="C5" s="5" t="s">
        <v>567</v>
      </c>
      <c r="D5" s="5"/>
      <c r="E5" s="5" t="s">
        <v>568</v>
      </c>
      <c r="F5" s="5"/>
      <c r="G5" s="5" t="s">
        <v>569</v>
      </c>
      <c r="H5" s="5"/>
      <c r="I5" s="5"/>
      <c r="J5" s="5"/>
    </row>
    <row r="6" spans="1:10" x14ac:dyDescent="0.3">
      <c r="A6" s="20">
        <f>'SKM Layanan'!F17</f>
        <v>83.017429193899773</v>
      </c>
      <c r="B6" s="19"/>
      <c r="C6" s="20">
        <f>Antikorupsi!F17</f>
        <v>82.581699346405216</v>
      </c>
      <c r="D6" s="19"/>
      <c r="E6" s="20">
        <f>Pemahaman!F20</f>
        <v>73.74183006535948</v>
      </c>
      <c r="F6" s="19"/>
      <c r="G6" s="20">
        <f>AVERAGE(Table1[Seberapa puas Anda dengan Pelayanan yang diberikan oleh Pemerintah Desa Mertasari?])</f>
        <v>8.3921568627450984</v>
      </c>
      <c r="H6" s="19"/>
      <c r="I6" s="19"/>
      <c r="J6" s="19"/>
    </row>
    <row r="7" spans="1:10" x14ac:dyDescent="0.3">
      <c r="A7" s="19"/>
      <c r="B7" s="19"/>
      <c r="C7" s="19"/>
      <c r="D7" s="19"/>
      <c r="E7" s="19"/>
      <c r="F7" s="19"/>
      <c r="G7" s="19"/>
      <c r="H7" s="19"/>
      <c r="I7" s="19"/>
      <c r="J7" s="19"/>
    </row>
    <row r="9" spans="1:10" x14ac:dyDescent="0.3">
      <c r="A9" s="8" t="s">
        <v>570</v>
      </c>
      <c r="B9" s="8"/>
      <c r="C9" s="8"/>
      <c r="D9" s="8"/>
      <c r="E9" s="8"/>
      <c r="F9" s="8"/>
      <c r="G9" s="8"/>
      <c r="H9" s="8"/>
      <c r="I9" s="8"/>
      <c r="J9" s="8"/>
    </row>
    <row r="10" spans="1:10" x14ac:dyDescent="0.3">
      <c r="A10" s="10" t="str">
        <f>"IKM layanan "&amp;TEXT(A6,"0.00")&amp;" ("&amp;'SKM Layanan'!G17&amp;"/"&amp;'SKM Layanan'!H17&amp;"). Kekuatan utama adalah biaya/tarif. Prioritas layanan: pengaduan, waktu penyelesaian, dan produk. Pemahaman umum "&amp;TEXT(E6,"0.00")&amp;" terutama tertahan oleh partisipasi RKP Desa dan pengetahuan APBDes."</f>
        <v>IKM layanan 83.02 (B/Baik). Kekuatan utama adalah biaya/tarif. Prioritas layanan: pengaduan, waktu penyelesaian, dan produk. Pemahaman umum 73.74 terutama tertahan oleh partisipasi RKP Desa dan pengetahuan APBDes.</v>
      </c>
      <c r="B10" s="10"/>
      <c r="C10" s="10"/>
      <c r="D10" s="10"/>
      <c r="E10" s="10"/>
      <c r="F10" s="10"/>
      <c r="G10" s="10"/>
      <c r="H10" s="10"/>
      <c r="I10" s="10"/>
      <c r="J10" s="10"/>
    </row>
    <row r="11" spans="1:10" x14ac:dyDescent="0.3">
      <c r="A11" s="10"/>
      <c r="B11" s="10"/>
      <c r="C11" s="10"/>
      <c r="D11" s="10"/>
      <c r="E11" s="10"/>
      <c r="F11" s="10"/>
      <c r="G11" s="10"/>
      <c r="H11" s="10"/>
      <c r="I11" s="10"/>
      <c r="J11" s="10"/>
    </row>
    <row r="12" spans="1:10" x14ac:dyDescent="0.3">
      <c r="A12" s="10"/>
      <c r="B12" s="10"/>
      <c r="C12" s="10"/>
      <c r="D12" s="10"/>
      <c r="E12" s="10"/>
      <c r="F12" s="10"/>
      <c r="G12" s="10"/>
      <c r="H12" s="10"/>
      <c r="I12" s="10"/>
      <c r="J12" s="10"/>
    </row>
    <row r="13" spans="1:10" x14ac:dyDescent="0.3">
      <c r="A13" s="10"/>
      <c r="B13" s="10"/>
      <c r="C13" s="10"/>
      <c r="D13" s="10"/>
      <c r="E13" s="10"/>
      <c r="F13" s="10"/>
      <c r="G13" s="10"/>
      <c r="H13" s="10"/>
      <c r="I13" s="10"/>
      <c r="J13" s="10"/>
    </row>
    <row r="15" spans="1:10" x14ac:dyDescent="0.3">
      <c r="A15" s="8" t="s">
        <v>571</v>
      </c>
      <c r="B15" s="8"/>
      <c r="C15" s="8"/>
      <c r="D15" s="8"/>
      <c r="E15" s="8"/>
      <c r="F15" s="8"/>
      <c r="G15" s="8"/>
      <c r="H15" s="8"/>
      <c r="I15" s="8"/>
      <c r="J15" s="8"/>
    </row>
    <row r="16" spans="1:10" x14ac:dyDescent="0.3">
      <c r="A16" s="13" t="s">
        <v>572</v>
      </c>
      <c r="B16" s="13" t="s">
        <v>573</v>
      </c>
      <c r="C16" s="13" t="s">
        <v>536</v>
      </c>
      <c r="D16" s="13" t="s">
        <v>487</v>
      </c>
      <c r="F16" s="13" t="s">
        <v>583</v>
      </c>
      <c r="G16" s="13" t="s">
        <v>562</v>
      </c>
    </row>
    <row r="17" spans="1:10" x14ac:dyDescent="0.3">
      <c r="A17" s="14" t="s">
        <v>504</v>
      </c>
      <c r="B17" s="15">
        <f>'SKM Layanan'!F14</f>
        <v>79.411764705882348</v>
      </c>
      <c r="C17" s="14" t="s">
        <v>574</v>
      </c>
      <c r="D17" s="14" t="s">
        <v>575</v>
      </c>
      <c r="F17" s="14" t="s">
        <v>46</v>
      </c>
      <c r="G17" s="14">
        <f>COUNTIF(Table1[Jenis Kelamin],"Laki-Laki")</f>
        <v>134</v>
      </c>
    </row>
    <row r="18" spans="1:10" x14ac:dyDescent="0.3">
      <c r="A18" s="14" t="s">
        <v>493</v>
      </c>
      <c r="B18" s="15">
        <f>'SKM Layanan'!F8</f>
        <v>80.294117647058826</v>
      </c>
      <c r="C18" s="14" t="s">
        <v>574</v>
      </c>
      <c r="D18" s="14" t="s">
        <v>576</v>
      </c>
      <c r="F18" s="14" t="s">
        <v>100</v>
      </c>
      <c r="G18" s="14">
        <f>COUNTIF(Table1[Jenis Kelamin],"Perempuan")</f>
        <v>121</v>
      </c>
    </row>
    <row r="19" spans="1:10" x14ac:dyDescent="0.3">
      <c r="A19" s="14" t="s">
        <v>496</v>
      </c>
      <c r="B19" s="15">
        <f>'SKM Layanan'!F10</f>
        <v>80.490196078431381</v>
      </c>
      <c r="C19" s="14" t="s">
        <v>574</v>
      </c>
      <c r="D19" s="14" t="s">
        <v>577</v>
      </c>
      <c r="F19" s="14" t="s">
        <v>584</v>
      </c>
      <c r="G19" s="14">
        <f>COUNTIF(Table1[Usia],"17 - 35 Tahun")</f>
        <v>90</v>
      </c>
    </row>
    <row r="20" spans="1:10" x14ac:dyDescent="0.3">
      <c r="A20" s="14" t="s">
        <v>556</v>
      </c>
      <c r="B20" s="15">
        <f>Pemahaman!F16</f>
        <v>52.549019607843142</v>
      </c>
      <c r="C20" s="14" t="s">
        <v>578</v>
      </c>
      <c r="D20" s="14" t="s">
        <v>579</v>
      </c>
      <c r="F20" s="14" t="s">
        <v>585</v>
      </c>
      <c r="G20" s="14">
        <f>COUNTIF(Table1[Usia],"36 - 55 Tahun")</f>
        <v>130</v>
      </c>
    </row>
    <row r="21" spans="1:10" x14ac:dyDescent="0.3">
      <c r="A21" s="14" t="s">
        <v>554</v>
      </c>
      <c r="B21" s="15">
        <f>Pemahaman!F15</f>
        <v>67.745098039215691</v>
      </c>
      <c r="C21" s="14" t="s">
        <v>580</v>
      </c>
      <c r="D21" s="14" t="s">
        <v>581</v>
      </c>
      <c r="F21" s="14" t="s">
        <v>586</v>
      </c>
      <c r="G21" s="14" cm="1">
        <f t="array" ref="G21">SUMPRODUCT(--(Table1[Usia]="&gt; 55 Tahun"))</f>
        <v>24</v>
      </c>
    </row>
    <row r="22" spans="1:10" x14ac:dyDescent="0.3">
      <c r="A22" s="14" t="s">
        <v>867</v>
      </c>
      <c r="B22" s="15">
        <f>Antikorupsi!F6</f>
        <v>77.352941176470594</v>
      </c>
      <c r="C22" s="14" t="s">
        <v>516</v>
      </c>
      <c r="D22" s="14" t="s">
        <v>582</v>
      </c>
      <c r="F22" s="14" t="s">
        <v>587</v>
      </c>
      <c r="G22" s="14">
        <f>COUNTA(Table1[Saran dan Kritik untuk perbaikan layanan publik Pemerintah Desa Mertasari])</f>
        <v>216</v>
      </c>
    </row>
    <row r="24" spans="1:10" x14ac:dyDescent="0.3">
      <c r="A24" s="8" t="s">
        <v>588</v>
      </c>
      <c r="B24" s="8"/>
      <c r="C24" s="8"/>
      <c r="D24" s="8"/>
      <c r="E24" s="8"/>
      <c r="F24" s="8"/>
      <c r="G24" s="8"/>
      <c r="H24" s="8"/>
      <c r="I24" s="8"/>
      <c r="J24" s="8"/>
    </row>
    <row r="25" spans="1:10" x14ac:dyDescent="0.3">
      <c r="A25" s="10" t="s">
        <v>589</v>
      </c>
      <c r="B25" s="10"/>
      <c r="C25" s="10"/>
      <c r="D25" s="10"/>
      <c r="E25" s="10"/>
      <c r="F25" s="10"/>
      <c r="G25" s="10"/>
      <c r="H25" s="10"/>
      <c r="I25" s="10"/>
      <c r="J25" s="10"/>
    </row>
    <row r="26" spans="1:10" x14ac:dyDescent="0.3">
      <c r="A26" s="10"/>
      <c r="B26" s="10"/>
      <c r="C26" s="10"/>
      <c r="D26" s="10"/>
      <c r="E26" s="10"/>
      <c r="F26" s="10"/>
      <c r="G26" s="10"/>
      <c r="H26" s="10"/>
      <c r="I26" s="10"/>
      <c r="J26" s="10"/>
    </row>
    <row r="27" spans="1:10" x14ac:dyDescent="0.3">
      <c r="A27" s="10"/>
      <c r="B27" s="10"/>
      <c r="C27" s="10"/>
      <c r="D27" s="10"/>
      <c r="E27" s="10"/>
      <c r="F27" s="10"/>
      <c r="G27" s="10"/>
      <c r="H27" s="10"/>
      <c r="I27" s="10"/>
      <c r="J27" s="10"/>
    </row>
    <row r="28" spans="1:10" x14ac:dyDescent="0.3">
      <c r="A28" s="10"/>
      <c r="B28" s="10"/>
      <c r="C28" s="10"/>
      <c r="D28" s="10"/>
      <c r="E28" s="10"/>
      <c r="F28" s="10"/>
      <c r="G28" s="10"/>
      <c r="H28" s="10"/>
      <c r="I28" s="10"/>
      <c r="J28" s="10"/>
    </row>
    <row r="31" spans="1:10" x14ac:dyDescent="0.3">
      <c r="A31" s="13" t="s">
        <v>512</v>
      </c>
      <c r="B31" s="13" t="s">
        <v>573</v>
      </c>
    </row>
    <row r="32" spans="1:10" x14ac:dyDescent="0.3">
      <c r="A32" s="14" t="s">
        <v>464</v>
      </c>
      <c r="B32" s="15">
        <f>A6</f>
        <v>83.017429193899773</v>
      </c>
    </row>
    <row r="33" spans="1:2" x14ac:dyDescent="0.3">
      <c r="A33" s="14" t="s">
        <v>466</v>
      </c>
      <c r="B33" s="15">
        <f>C6</f>
        <v>82.581699346405216</v>
      </c>
    </row>
    <row r="34" spans="1:2" x14ac:dyDescent="0.3">
      <c r="A34" s="14" t="s">
        <v>468</v>
      </c>
      <c r="B34" s="15">
        <f>E6</f>
        <v>73.74183006535948</v>
      </c>
    </row>
    <row r="53" spans="1:10" x14ac:dyDescent="0.3">
      <c r="A53" s="8" t="s">
        <v>616</v>
      </c>
      <c r="B53" s="8"/>
      <c r="C53" s="8"/>
      <c r="D53" s="8"/>
      <c r="E53" s="8"/>
      <c r="F53" s="8"/>
      <c r="G53" s="8"/>
      <c r="H53" s="8"/>
      <c r="I53" s="8"/>
      <c r="J53" s="8"/>
    </row>
    <row r="54" spans="1:10" ht="86.4" x14ac:dyDescent="0.3">
      <c r="A54" s="26" t="s">
        <v>617</v>
      </c>
      <c r="B54" s="21" t="s">
        <v>618</v>
      </c>
    </row>
    <row r="55" spans="1:10" ht="86.4" x14ac:dyDescent="0.3">
      <c r="A55" s="26" t="s">
        <v>619</v>
      </c>
      <c r="B55" s="21" t="s">
        <v>620</v>
      </c>
    </row>
    <row r="56" spans="1:10" ht="86.4" x14ac:dyDescent="0.3">
      <c r="A56" s="26" t="s">
        <v>621</v>
      </c>
      <c r="B56" s="21" t="s">
        <v>622</v>
      </c>
    </row>
    <row r="57" spans="1:10" ht="86.4" x14ac:dyDescent="0.3">
      <c r="A57" s="26" t="s">
        <v>623</v>
      </c>
      <c r="B57" s="21" t="s">
        <v>624</v>
      </c>
    </row>
    <row r="58" spans="1:10" ht="100.8" x14ac:dyDescent="0.3">
      <c r="A58" s="26" t="s">
        <v>582</v>
      </c>
      <c r="B58" s="21" t="s">
        <v>625</v>
      </c>
    </row>
    <row r="59" spans="1:10" ht="86.4" x14ac:dyDescent="0.3">
      <c r="A59" s="26" t="s">
        <v>626</v>
      </c>
      <c r="B59" s="21" t="s">
        <v>627</v>
      </c>
    </row>
    <row r="61" spans="1:10" x14ac:dyDescent="0.3">
      <c r="A61" s="8" t="s">
        <v>628</v>
      </c>
      <c r="B61" s="8"/>
      <c r="C61" s="8"/>
      <c r="D61" s="8"/>
      <c r="E61" s="8"/>
      <c r="F61" s="8"/>
      <c r="G61" s="8"/>
      <c r="H61" s="8"/>
      <c r="I61" s="8"/>
      <c r="J61" s="8"/>
    </row>
    <row r="62" spans="1:10" x14ac:dyDescent="0.3">
      <c r="A62" s="28" t="s">
        <v>629</v>
      </c>
      <c r="B62" s="28"/>
      <c r="C62" s="28"/>
      <c r="D62" s="28"/>
      <c r="E62" s="28"/>
      <c r="F62" s="28"/>
      <c r="G62" s="28"/>
      <c r="H62" s="28"/>
      <c r="I62" s="28"/>
      <c r="J62" s="28"/>
    </row>
    <row r="63" spans="1:10" x14ac:dyDescent="0.3">
      <c r="A63" s="28"/>
      <c r="B63" s="28"/>
      <c r="C63" s="28"/>
      <c r="D63" s="28"/>
      <c r="E63" s="28"/>
      <c r="F63" s="28"/>
      <c r="G63" s="28"/>
      <c r="H63" s="28"/>
      <c r="I63" s="28"/>
      <c r="J63" s="28"/>
    </row>
    <row r="64" spans="1:10" x14ac:dyDescent="0.3">
      <c r="A64" s="28"/>
      <c r="B64" s="28"/>
      <c r="C64" s="28"/>
      <c r="D64" s="28"/>
      <c r="E64" s="28"/>
      <c r="F64" s="28"/>
      <c r="G64" s="28"/>
      <c r="H64" s="28"/>
      <c r="I64" s="28"/>
      <c r="J64" s="28"/>
    </row>
    <row r="65" spans="1:10" x14ac:dyDescent="0.3">
      <c r="A65" s="28"/>
      <c r="B65" s="28"/>
      <c r="C65" s="28"/>
      <c r="D65" s="28"/>
      <c r="E65" s="28"/>
      <c r="F65" s="28"/>
      <c r="G65" s="28"/>
      <c r="H65" s="28"/>
      <c r="I65" s="28"/>
      <c r="J65" s="28"/>
    </row>
  </sheetData>
  <mergeCells count="19">
    <mergeCell ref="A53:J53"/>
    <mergeCell ref="A61:J61"/>
    <mergeCell ref="A62:J65"/>
    <mergeCell ref="G6:J7"/>
    <mergeCell ref="A9:J9"/>
    <mergeCell ref="A10:J13"/>
    <mergeCell ref="A15:J15"/>
    <mergeCell ref="A24:J24"/>
    <mergeCell ref="A25:J28"/>
    <mergeCell ref="A1:J1"/>
    <mergeCell ref="A2:J2"/>
    <mergeCell ref="A4:J4"/>
    <mergeCell ref="A5:B5"/>
    <mergeCell ref="A6:B7"/>
    <mergeCell ref="C5:D5"/>
    <mergeCell ref="C6:D7"/>
    <mergeCell ref="E5:F5"/>
    <mergeCell ref="E6:F7"/>
    <mergeCell ref="G5:J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ECEE-B842-45B3-96B8-5657A4D38979}">
  <dimension ref="A1:J89"/>
  <sheetViews>
    <sheetView workbookViewId="0">
      <selection activeCell="AR1" sqref="AR1"/>
    </sheetView>
  </sheetViews>
  <sheetFormatPr defaultRowHeight="14.4" x14ac:dyDescent="0.3"/>
  <cols>
    <col min="1" max="1" width="23.109375" customWidth="1"/>
    <col min="2" max="2" width="37" customWidth="1"/>
    <col min="3" max="3" width="14.77734375" customWidth="1"/>
    <col min="4" max="4" width="37" customWidth="1"/>
    <col min="5" max="5" width="12" customWidth="1"/>
    <col min="6" max="6" width="14.77734375" customWidth="1"/>
    <col min="7" max="7" width="15.77734375" customWidth="1"/>
    <col min="8" max="8" width="10.21875" customWidth="1"/>
    <col min="9" max="9" width="13.88671875" customWidth="1"/>
    <col min="10" max="10" width="10.21875" customWidth="1"/>
  </cols>
  <sheetData>
    <row r="1" spans="1:10" ht="23.4" x14ac:dyDescent="0.45">
      <c r="A1" s="11" t="s">
        <v>476</v>
      </c>
      <c r="B1" s="11"/>
      <c r="C1" s="11"/>
      <c r="D1" s="11"/>
      <c r="E1" s="11"/>
      <c r="F1" s="11"/>
      <c r="G1" s="11"/>
      <c r="H1" s="11"/>
      <c r="I1" s="11"/>
      <c r="J1" s="11"/>
    </row>
    <row r="2" spans="1:10" x14ac:dyDescent="0.3">
      <c r="A2" s="12" t="s">
        <v>477</v>
      </c>
      <c r="B2" s="12"/>
      <c r="C2" s="12"/>
      <c r="D2" s="12"/>
      <c r="E2" s="12"/>
      <c r="F2" s="12"/>
      <c r="G2" s="12"/>
      <c r="H2" s="12"/>
      <c r="I2" s="12"/>
      <c r="J2" s="12"/>
    </row>
    <row r="4" spans="1:10" x14ac:dyDescent="0.3">
      <c r="A4" s="8" t="s">
        <v>478</v>
      </c>
      <c r="B4" s="8"/>
      <c r="C4" s="8"/>
      <c r="D4" s="8"/>
      <c r="E4" s="8"/>
      <c r="F4" s="8"/>
      <c r="G4" s="8"/>
      <c r="H4" s="8"/>
      <c r="I4" s="8"/>
      <c r="J4" s="8"/>
    </row>
    <row r="5" spans="1:10" x14ac:dyDescent="0.3">
      <c r="A5" s="13" t="s">
        <v>479</v>
      </c>
      <c r="B5" s="13" t="s">
        <v>480</v>
      </c>
      <c r="C5" s="13" t="s">
        <v>481</v>
      </c>
      <c r="D5" s="13" t="s">
        <v>482</v>
      </c>
      <c r="E5" s="13" t="s">
        <v>483</v>
      </c>
      <c r="F5" s="13" t="s">
        <v>484</v>
      </c>
      <c r="G5" s="13" t="s">
        <v>485</v>
      </c>
      <c r="H5" s="13" t="s">
        <v>486</v>
      </c>
      <c r="I5" s="13" t="s">
        <v>487</v>
      </c>
      <c r="J5" s="13" t="s">
        <v>488</v>
      </c>
    </row>
    <row r="6" spans="1:10" x14ac:dyDescent="0.3">
      <c r="A6" s="14">
        <v>1</v>
      </c>
      <c r="B6" s="14" t="s">
        <v>489</v>
      </c>
      <c r="C6" s="14" t="s">
        <v>490</v>
      </c>
      <c r="D6" s="14">
        <f>COUNTA(Table1[Apakah persyaratan pengajuan pelayanan yang ada pada Kantor Desa Mertasari telah mempermudah  Anda?])</f>
        <v>255</v>
      </c>
      <c r="E6" s="15">
        <f>(COUNTIF(Table1[Apakah persyaratan pengajuan pelayanan yang ada pada Kantor Desa Mertasari telah mempermudah  Anda?],"Cukup Mudah")*2+COUNTIF(Table1[Apakah persyaratan pengajuan pelayanan yang ada pada Kantor Desa Mertasari telah mempermudah  Anda?],"Mudah")*3+COUNTIF(Table1[Apakah persyaratan pengajuan pelayanan yang ada pada Kantor Desa Mertasari telah mempermudah  Anda?],"Sangat Mudah")*4)/COUNTA(Table1[Apakah persyaratan pengajuan pelayanan yang ada pada Kantor Desa Mertasari telah mempermudah  Anda?])</f>
        <v>3.2901960784313724</v>
      </c>
      <c r="F6" s="15">
        <f>E6*25</f>
        <v>82.254901960784309</v>
      </c>
      <c r="G6" s="14" t="str">
        <f>IF(F6&lt;65,"Tidak Baik",IF(F6&lt;=76.6,"Kurang Baik",IF(F6&lt;=88.3,"Baik","Sangat Baik")))</f>
        <v>Baik</v>
      </c>
      <c r="H6" s="14">
        <f>_xlfn.RANK.EQ(F6,$F$6:$F$14,1)</f>
        <v>6</v>
      </c>
      <c r="I6" s="14" t="str">
        <f>IF(H6&lt;=3,"Prioritas","Pertahankan")</f>
        <v>Pertahankan</v>
      </c>
      <c r="J6" s="14" t="str">
        <f>IF(F6&lt;65,"D",IF(F6&lt;=76.6,"C",IF(F6&lt;=88.3,"B","A")))</f>
        <v>B</v>
      </c>
    </row>
    <row r="7" spans="1:10" x14ac:dyDescent="0.3">
      <c r="A7" s="14">
        <v>2</v>
      </c>
      <c r="B7" s="14" t="s">
        <v>491</v>
      </c>
      <c r="C7" s="14" t="s">
        <v>492</v>
      </c>
      <c r="D7" s="14">
        <f>COUNTA(Table1[Seberapa mudahkan prosedur pelayanan yang ada di Desa Mertasari untuk setiap pengajuan permohonan layanan?])</f>
        <v>255</v>
      </c>
      <c r="E7" s="15">
        <f>(COUNTIF(Table1[Seberapa mudahkan prosedur pelayanan yang ada di Desa Mertasari untuk setiap pengajuan permohonan layanan?],"Cukup Mudah")*2+COUNTIF(Table1[Seberapa mudahkan prosedur pelayanan yang ada di Desa Mertasari untuk setiap pengajuan permohonan layanan?],"Mudah")*3+COUNTIF(Table1[Seberapa mudahkan prosedur pelayanan yang ada di Desa Mertasari untuk setiap pengajuan permohonan layanan?],"Sangat Mudah")*4)/COUNTA(Table1[Seberapa mudahkan prosedur pelayanan yang ada di Desa Mertasari untuk setiap pengajuan permohonan layanan?])</f>
        <v>3.2509803921568627</v>
      </c>
      <c r="F7" s="15">
        <f>E7*25</f>
        <v>81.274509803921575</v>
      </c>
      <c r="G7" s="14" t="str">
        <f>IF(F7&lt;65,"Tidak Baik",IF(F7&lt;=76.6,"Kurang Baik",IF(F7&lt;=88.3,"Baik","Sangat Baik")))</f>
        <v>Baik</v>
      </c>
      <c r="H7" s="14">
        <f>_xlfn.RANK.EQ(F7,$F$6:$F$14,1)</f>
        <v>4</v>
      </c>
      <c r="I7" s="14" t="str">
        <f>IF(H7&lt;=3,"Prioritas","Pertahankan")</f>
        <v>Pertahankan</v>
      </c>
      <c r="J7" s="14" t="str">
        <f>IF(F7&lt;65,"D",IF(F7&lt;=76.6,"C",IF(F7&lt;=88.3,"B","A")))</f>
        <v>B</v>
      </c>
    </row>
    <row r="8" spans="1:10" x14ac:dyDescent="0.3">
      <c r="A8" s="14">
        <v>3</v>
      </c>
      <c r="B8" s="14" t="s">
        <v>493</v>
      </c>
      <c r="C8" s="14" t="s">
        <v>482</v>
      </c>
      <c r="D8" s="14">
        <f>COUNTA(Table1[Seberapa cepat waktu yang dibutuhkan dalam proses layanan yang diberikan oleh petugas di Kantor Desa Mertasari?])</f>
        <v>255</v>
      </c>
      <c r="E8" s="15">
        <f>(COUNTIF(Table1[Seberapa cepat waktu yang dibutuhkan dalam proses layanan yang diberikan oleh petugas di Kantor Desa Mertasari?],"Kurang Cepat")*2+COUNTIF(Table1[Seberapa cepat waktu yang dibutuhkan dalam proses layanan yang diberikan oleh petugas di Kantor Desa Mertasari?],"Cepat")*3+COUNTIF(Table1[Seberapa cepat waktu yang dibutuhkan dalam proses layanan yang diberikan oleh petugas di Kantor Desa Mertasari?],"Sangat Cepat")*4)/COUNTA(Table1[Seberapa cepat waktu yang dibutuhkan dalam proses layanan yang diberikan oleh petugas di Kantor Desa Mertasari?])</f>
        <v>3.2117647058823531</v>
      </c>
      <c r="F8" s="15">
        <f>E8*25</f>
        <v>80.294117647058826</v>
      </c>
      <c r="G8" s="14" t="str">
        <f>IF(F8&lt;65,"Tidak Baik",IF(F8&lt;=76.6,"Kurang Baik",IF(F8&lt;=88.3,"Baik","Sangat Baik")))</f>
        <v>Baik</v>
      </c>
      <c r="H8" s="14">
        <f>_xlfn.RANK.EQ(F8,$F$6:$F$14,1)</f>
        <v>2</v>
      </c>
      <c r="I8" s="14" t="str">
        <f>IF(H8&lt;=3,"Prioritas","Pertahankan")</f>
        <v>Prioritas</v>
      </c>
      <c r="J8" s="14" t="str">
        <f>IF(F8&lt;65,"D",IF(F8&lt;=76.6,"C",IF(F8&lt;=88.3,"B","A")))</f>
        <v>B</v>
      </c>
    </row>
    <row r="9" spans="1:10" x14ac:dyDescent="0.3">
      <c r="A9" s="14">
        <v>4</v>
      </c>
      <c r="B9" s="14" t="s">
        <v>494</v>
      </c>
      <c r="C9" s="14" t="s">
        <v>495</v>
      </c>
      <c r="D9" s="14">
        <f>COUNTA(Table1[Menurut  Anda, berapa tarif/biaya layanan yang diterapkan atas layanan yang diberikan oleh Pemerintah Desa Mertasari?])</f>
        <v>255</v>
      </c>
      <c r="E9" s="15">
        <f>(COUNTIF(Table1[Menurut  Anda, berapa tarif/biaya layanan yang diterapkan atas layanan yang diberikan oleh Pemerintah Desa Mertasari?],"Cukup Mahal")*2+COUNTIF(Table1[Menurut  Anda, berapa tarif/biaya layanan yang diterapkan atas layanan yang diberikan oleh Pemerintah Desa Mertasari?],"Murah")*3+COUNTIF(Table1[Menurut  Anda, berapa tarif/biaya layanan yang diterapkan atas layanan yang diberikan oleh Pemerintah Desa Mertasari?],"Gratis")*4)/COUNTA(Table1[Menurut  Anda, berapa tarif/biaya layanan yang diterapkan atas layanan yang diberikan oleh Pemerintah Desa Mertasari?])</f>
        <v>3.8627450980392157</v>
      </c>
      <c r="F9" s="15">
        <f>E9*25</f>
        <v>96.568627450980387</v>
      </c>
      <c r="G9" s="14" t="str">
        <f>IF(F9&lt;65,"Tidak Baik",IF(F9&lt;=76.6,"Kurang Baik",IF(F9&lt;=88.3,"Baik","Sangat Baik")))</f>
        <v>Sangat Baik</v>
      </c>
      <c r="H9" s="14">
        <f>_xlfn.RANK.EQ(F9,$F$6:$F$14,1)</f>
        <v>9</v>
      </c>
      <c r="I9" s="14" t="str">
        <f>IF(H9&lt;=3,"Prioritas","Pertahankan")</f>
        <v>Pertahankan</v>
      </c>
      <c r="J9" s="14" t="str">
        <f>IF(F9&lt;65,"D",IF(F9&lt;=76.6,"C",IF(F9&lt;=88.3,"B","A")))</f>
        <v>A</v>
      </c>
    </row>
    <row r="10" spans="1:10" x14ac:dyDescent="0.3">
      <c r="A10" s="14">
        <v>5</v>
      </c>
      <c r="B10" s="14" t="s">
        <v>496</v>
      </c>
      <c r="C10" s="14" t="s">
        <v>497</v>
      </c>
      <c r="D10" s="14">
        <f>COUNTA(Table1[Bagaimana pendapat saudara tentang kesesuaian produk pelayanan antara yang tercantum dalam standar  hasil pelayanan dengan hasil yang diberikan?])</f>
        <v>255</v>
      </c>
      <c r="E10" s="15">
        <f>(COUNTIF(Table1[Bagaimana pendapat saudara tentang kesesuaian produk pelayanan antara yang tercantum dalam standar  hasil pelayanan dengan hasil yang diberikan?],"Tidak Sesuai")*1+COUNTIF(Table1[Bagaimana pendapat saudara tentang kesesuaian produk pelayanan antara yang tercantum dalam standar  hasil pelayanan dengan hasil yang diberikan?],"Sesuai")*3+COUNTIF(Table1[Bagaimana pendapat saudara tentang kesesuaian produk pelayanan antara yang tercantum dalam standar  hasil pelayanan dengan hasil yang diberikan?],"Sangat Sesuai")*4)/COUNTA(Table1[Bagaimana pendapat saudara tentang kesesuaian produk pelayanan antara yang tercantum dalam standar  hasil pelayanan dengan hasil yang diberikan?])</f>
        <v>3.219607843137255</v>
      </c>
      <c r="F10" s="15">
        <f>E10*25</f>
        <v>80.490196078431381</v>
      </c>
      <c r="G10" s="14" t="str">
        <f>IF(F10&lt;65,"Tidak Baik",IF(F10&lt;=76.6,"Kurang Baik",IF(F10&lt;=88.3,"Baik","Sangat Baik")))</f>
        <v>Baik</v>
      </c>
      <c r="H10" s="14">
        <f>_xlfn.RANK.EQ(F10,$F$6:$F$14,1)</f>
        <v>3</v>
      </c>
      <c r="I10" s="14" t="str">
        <f>IF(H10&lt;=3,"Prioritas","Pertahankan")</f>
        <v>Prioritas</v>
      </c>
      <c r="J10" s="14" t="str">
        <f>IF(F10&lt;65,"D",IF(F10&lt;=76.6,"C",IF(F10&lt;=88.3,"B","A")))</f>
        <v>B</v>
      </c>
    </row>
    <row r="11" spans="1:10" x14ac:dyDescent="0.3">
      <c r="A11" s="14">
        <v>6</v>
      </c>
      <c r="B11" s="14" t="s">
        <v>498</v>
      </c>
      <c r="C11" s="14" t="s">
        <v>499</v>
      </c>
      <c r="D11" s="14">
        <f>COUNTA(Table1[Bagaimana pendapat  Anda tentang kemampuan perangkat desa dalam memberikan penjelasan mengenai prosedur layanan?])</f>
        <v>255</v>
      </c>
      <c r="E11" s="15">
        <f>(COUNTIF(Table1[Bagaimana pendapat  Anda tentang kemampuan perangkat desa dalam memberikan penjelasan mengenai prosedur layanan?],"Tidak Jelas")*1+COUNTIF(Table1[Bagaimana pendapat  Anda tentang kemampuan perangkat desa dalam memberikan penjelasan mengenai prosedur layanan?],"Kurang Jelas")*2+COUNTIF(Table1[Bagaimana pendapat  Anda tentang kemampuan perangkat desa dalam memberikan penjelasan mengenai prosedur layanan?],"Jelas")*3+COUNTIF(Table1[Bagaimana pendapat  Anda tentang kemampuan perangkat desa dalam memberikan penjelasan mengenai prosedur layanan?],"Sangat Jelas")*4)/COUNTA(Table1[Bagaimana pendapat  Anda tentang kemampuan perangkat desa dalam memberikan penjelasan mengenai prosedur layanan?])</f>
        <v>3.2666666666666666</v>
      </c>
      <c r="F11" s="15">
        <f>E11*25</f>
        <v>81.666666666666671</v>
      </c>
      <c r="G11" s="14" t="str">
        <f>IF(F11&lt;65,"Tidak Baik",IF(F11&lt;=76.6,"Kurang Baik",IF(F11&lt;=88.3,"Baik","Sangat Baik")))</f>
        <v>Baik</v>
      </c>
      <c r="H11" s="14">
        <f>_xlfn.RANK.EQ(F11,$F$6:$F$14,1)</f>
        <v>5</v>
      </c>
      <c r="I11" s="14" t="str">
        <f>IF(H11&lt;=3,"Prioritas","Pertahankan")</f>
        <v>Pertahankan</v>
      </c>
      <c r="J11" s="14" t="str">
        <f>IF(F11&lt;65,"D",IF(F11&lt;=76.6,"C",IF(F11&lt;=88.3,"B","A")))</f>
        <v>B</v>
      </c>
    </row>
    <row r="12" spans="1:10" x14ac:dyDescent="0.3">
      <c r="A12" s="14">
        <v>7</v>
      </c>
      <c r="B12" s="14" t="s">
        <v>500</v>
      </c>
      <c r="C12" s="14" t="s">
        <v>501</v>
      </c>
      <c r="D12" s="14">
        <f>COUNTA(Table1[Bagaimana pendapat Anda tentang kesopanan dan keramahan perangkat desa dalam memberikan layanan?])</f>
        <v>255</v>
      </c>
      <c r="E12" s="15">
        <f>(COUNTIF(Table1[Bagaimana pendapat Anda tentang kesopanan dan keramahan perangkat desa dalam memberikan layanan?],"Sopan dan Ramah")*3+COUNTIF(Table1[Bagaimana pendapat Anda tentang kesopanan dan keramahan perangkat desa dalam memberikan layanan?],"Sangat Sopan dan Sangat Ramah")*4)/COUNTA(Table1[Bagaimana pendapat Anda tentang kesopanan dan keramahan perangkat desa dalam memberikan layanan?])</f>
        <v>3.3098039215686272</v>
      </c>
      <c r="F12" s="15">
        <f>E12*25</f>
        <v>82.745098039215677</v>
      </c>
      <c r="G12" s="14" t="str">
        <f>IF(F12&lt;65,"Tidak Baik",IF(F12&lt;=76.6,"Kurang Baik",IF(F12&lt;=88.3,"Baik","Sangat Baik")))</f>
        <v>Baik</v>
      </c>
      <c r="H12" s="14">
        <f>_xlfn.RANK.EQ(F12,$F$6:$F$14,1)</f>
        <v>8</v>
      </c>
      <c r="I12" s="14" t="str">
        <f>IF(H12&lt;=3,"Prioritas","Pertahankan")</f>
        <v>Pertahankan</v>
      </c>
      <c r="J12" s="14" t="str">
        <f>IF(F12&lt;65,"D",IF(F12&lt;=76.6,"C",IF(F12&lt;=88.3,"B","A")))</f>
        <v>B</v>
      </c>
    </row>
    <row r="13" spans="1:10" x14ac:dyDescent="0.3">
      <c r="A13" s="14">
        <v>8</v>
      </c>
      <c r="B13" s="14" t="s">
        <v>502</v>
      </c>
      <c r="C13" s="14" t="s">
        <v>503</v>
      </c>
      <c r="D13" s="14">
        <f>COUNTA(Table1[Menurut Anda, apakah telah tersedia sarana prasarana (komputer, jaringan internet dan lainnya) yang mendukung efektivitas dan efisiensi pelayanan di Pemerintah Desa Mertasari?])</f>
        <v>255</v>
      </c>
      <c r="E13" s="15">
        <f>(COUNTIF(Table1[Menurut Anda, apakah telah tersedia sarana prasarana (komputer, jaringan internet dan lainnya) yang mendukung efektivitas dan efisiensi pelayanan di Pemerintah Desa Mertasari?],"Cukup tersedia tapi kurang mendukung")*2+COUNTIF(Table1[Menurut Anda, apakah telah tersedia sarana prasarana (komputer, jaringan internet dan lainnya) yang mendukung efektivitas dan efisiensi pelayanan di Pemerintah Desa Mertasari?],"Tersedia dan mendukung")*3+COUNTIF(Table1[Menurut Anda, apakah telah tersedia sarana prasarana (komputer, jaringan internet dan lainnya) yang mendukung efektivitas dan efisiensi pelayanan di Pemerintah Desa Mertasari?],"Tersedia dan sangat mendukung")*4)/COUNTA(Table1[Menurut Anda, apakah telah tersedia sarana prasarana (komputer, jaringan internet dan lainnya) yang mendukung efektivitas dan efisiensi pelayanan di Pemerintah Desa Mertasari?])</f>
        <v>3.2980392156862743</v>
      </c>
      <c r="F13" s="15">
        <f>E13*25</f>
        <v>82.450980392156865</v>
      </c>
      <c r="G13" s="14" t="str">
        <f>IF(F13&lt;65,"Tidak Baik",IF(F13&lt;=76.6,"Kurang Baik",IF(F13&lt;=88.3,"Baik","Sangat Baik")))</f>
        <v>Baik</v>
      </c>
      <c r="H13" s="14">
        <f>_xlfn.RANK.EQ(F13,$F$6:$F$14,1)</f>
        <v>7</v>
      </c>
      <c r="I13" s="14" t="str">
        <f>IF(H13&lt;=3,"Prioritas","Pertahankan")</f>
        <v>Pertahankan</v>
      </c>
      <c r="J13" s="14" t="str">
        <f>IF(F13&lt;65,"D",IF(F13&lt;=76.6,"C",IF(F13&lt;=88.3,"B","A")))</f>
        <v>B</v>
      </c>
    </row>
    <row r="14" spans="1:10" x14ac:dyDescent="0.3">
      <c r="A14" s="14">
        <v>9</v>
      </c>
      <c r="B14" s="14" t="s">
        <v>504</v>
      </c>
      <c r="C14" s="14" t="s">
        <v>505</v>
      </c>
      <c r="D14" s="14">
        <f>COUNTA(Table1[Bagaimana pendapat  Anda tentang ketersediaan dan penanganan layanan pengaduan masyarakat?])</f>
        <v>255</v>
      </c>
      <c r="E14" s="15">
        <f>(COUNTIF(Table1[Bagaimana pendapat  Anda tentang ketersediaan dan penanganan layanan pengaduan masyarakat?],"Ada tetapi belum dikelola dengan baik")*2+COUNTIF(Table1[Bagaimana pendapat  Anda tentang ketersediaan dan penanganan layanan pengaduan masyarakat?],"Ada dan sudah dikelola dengan cukup baik")*3+COUNTIF(Table1[Bagaimana pendapat  Anda tentang ketersediaan dan penanganan layanan pengaduan masyarakat?],"Ada dan sudah dikelola dengan sangat baik")*4)/COUNTA(Table1[Bagaimana pendapat  Anda tentang ketersediaan dan penanganan layanan pengaduan masyarakat?])</f>
        <v>3.1764705882352939</v>
      </c>
      <c r="F14" s="15">
        <f>E14*25</f>
        <v>79.411764705882348</v>
      </c>
      <c r="G14" s="14" t="str">
        <f>IF(F14&lt;65,"Tidak Baik",IF(F14&lt;=76.6,"Kurang Baik",IF(F14&lt;=88.3,"Baik","Sangat Baik")))</f>
        <v>Baik</v>
      </c>
      <c r="H14" s="14">
        <f>_xlfn.RANK.EQ(F14,$F$6:$F$14,1)</f>
        <v>1</v>
      </c>
      <c r="I14" s="14" t="str">
        <f>IF(H14&lt;=3,"Prioritas","Pertahankan")</f>
        <v>Prioritas</v>
      </c>
      <c r="J14" s="14" t="str">
        <f>IF(F14&lt;65,"D",IF(F14&lt;=76.6,"C",IF(F14&lt;=88.3,"B","A")))</f>
        <v>B</v>
      </c>
    </row>
    <row r="17" spans="1:10" x14ac:dyDescent="0.3">
      <c r="B17" s="16" t="s">
        <v>506</v>
      </c>
      <c r="C17" s="16"/>
      <c r="D17" s="16"/>
      <c r="E17" s="16"/>
      <c r="F17" s="18">
        <f>AVERAGE(E6:E14)*25</f>
        <v>83.017429193899773</v>
      </c>
      <c r="G17" s="17" t="str">
        <f>IF(F17&lt;65,"D",IF(F17&lt;=76.6,"C",IF(F17&lt;=88.3,"B","A")))</f>
        <v>B</v>
      </c>
      <c r="H17" s="16" t="str">
        <f>IF(F17&lt;65,"Tidak Baik",IF(F17&lt;=76.6,"Kurang Baik",IF(F17&lt;=88.3,"Baik","Sangat Baik")))</f>
        <v>Baik</v>
      </c>
      <c r="I17" s="16"/>
      <c r="J17" s="16"/>
    </row>
    <row r="19" spans="1:10" x14ac:dyDescent="0.3">
      <c r="A19" s="5" t="s">
        <v>507</v>
      </c>
      <c r="B19" s="5"/>
      <c r="C19" s="5"/>
      <c r="D19" s="5"/>
      <c r="E19" s="5"/>
      <c r="F19" s="5"/>
      <c r="G19" s="5"/>
      <c r="H19" s="5"/>
      <c r="I19" s="5"/>
      <c r="J19" s="5"/>
    </row>
    <row r="40" spans="1:10" x14ac:dyDescent="0.3">
      <c r="A40" s="8" t="s">
        <v>630</v>
      </c>
      <c r="B40" s="8"/>
      <c r="C40" s="8"/>
      <c r="D40" s="8"/>
      <c r="E40" s="8"/>
      <c r="F40" s="8"/>
      <c r="G40" s="8"/>
      <c r="H40" s="8"/>
      <c r="I40" s="8"/>
      <c r="J40" s="8"/>
    </row>
    <row r="41" spans="1:10" ht="86.4" x14ac:dyDescent="0.3">
      <c r="A41" s="26" t="s">
        <v>631</v>
      </c>
      <c r="B41" s="21" t="s">
        <v>632</v>
      </c>
    </row>
    <row r="42" spans="1:10" ht="86.4" x14ac:dyDescent="0.3">
      <c r="A42" s="26" t="s">
        <v>633</v>
      </c>
      <c r="B42" s="21" t="s">
        <v>634</v>
      </c>
    </row>
    <row r="43" spans="1:10" ht="86.4" x14ac:dyDescent="0.3">
      <c r="A43" s="26" t="s">
        <v>635</v>
      </c>
      <c r="B43" s="21" t="s">
        <v>636</v>
      </c>
    </row>
    <row r="44" spans="1:10" ht="72" x14ac:dyDescent="0.3">
      <c r="A44" s="26" t="s">
        <v>637</v>
      </c>
      <c r="B44" s="21" t="s">
        <v>638</v>
      </c>
    </row>
    <row r="45" spans="1:10" ht="86.4" x14ac:dyDescent="0.3">
      <c r="A45" s="26" t="s">
        <v>639</v>
      </c>
      <c r="B45" s="21" t="s">
        <v>640</v>
      </c>
    </row>
    <row r="46" spans="1:10" ht="86.4" x14ac:dyDescent="0.3">
      <c r="A46" s="26" t="s">
        <v>641</v>
      </c>
      <c r="B46" s="21" t="s">
        <v>642</v>
      </c>
    </row>
    <row r="48" spans="1:10" x14ac:dyDescent="0.3">
      <c r="A48" s="8" t="s">
        <v>643</v>
      </c>
      <c r="B48" s="8"/>
      <c r="C48" s="8"/>
      <c r="D48" s="8"/>
      <c r="E48" s="8"/>
      <c r="F48" s="8"/>
      <c r="G48" s="8"/>
      <c r="H48" s="8"/>
      <c r="I48" s="8"/>
      <c r="J48" s="8"/>
    </row>
    <row r="49" spans="1:10" x14ac:dyDescent="0.3">
      <c r="A49" s="28" t="s">
        <v>644</v>
      </c>
      <c r="B49" s="28"/>
      <c r="C49" s="28"/>
      <c r="D49" s="28"/>
      <c r="E49" s="28"/>
      <c r="F49" s="28"/>
      <c r="G49" s="28"/>
      <c r="H49" s="28"/>
      <c r="I49" s="28"/>
      <c r="J49" s="28"/>
    </row>
    <row r="50" spans="1:10" x14ac:dyDescent="0.3">
      <c r="A50" s="28"/>
      <c r="B50" s="28"/>
      <c r="C50" s="28"/>
      <c r="D50" s="28"/>
      <c r="E50" s="28"/>
      <c r="F50" s="28"/>
      <c r="G50" s="28"/>
      <c r="H50" s="28"/>
      <c r="I50" s="28"/>
      <c r="J50" s="28"/>
    </row>
    <row r="51" spans="1:10" x14ac:dyDescent="0.3">
      <c r="A51" s="28"/>
      <c r="B51" s="28"/>
      <c r="C51" s="28"/>
      <c r="D51" s="28"/>
      <c r="E51" s="28"/>
      <c r="F51" s="28"/>
      <c r="G51" s="28"/>
      <c r="H51" s="28"/>
      <c r="I51" s="28"/>
      <c r="J51" s="28"/>
    </row>
    <row r="52" spans="1:10" x14ac:dyDescent="0.3">
      <c r="A52" s="28"/>
      <c r="B52" s="28"/>
      <c r="C52" s="28"/>
      <c r="D52" s="28"/>
      <c r="E52" s="28"/>
      <c r="F52" s="28"/>
      <c r="G52" s="28"/>
      <c r="H52" s="28"/>
      <c r="I52" s="28"/>
      <c r="J52" s="28"/>
    </row>
    <row r="53" spans="1:10" x14ac:dyDescent="0.3">
      <c r="A53" s="28"/>
      <c r="B53" s="28"/>
      <c r="C53" s="28"/>
      <c r="D53" s="28"/>
      <c r="E53" s="28"/>
      <c r="F53" s="28"/>
      <c r="G53" s="28"/>
      <c r="H53" s="28"/>
      <c r="I53" s="28"/>
      <c r="J53" s="28"/>
    </row>
    <row r="55" spans="1:10" x14ac:dyDescent="0.3">
      <c r="A55" s="8" t="s">
        <v>734</v>
      </c>
      <c r="B55" s="8"/>
      <c r="C55" s="8"/>
      <c r="D55" s="8"/>
      <c r="E55" s="8"/>
      <c r="F55" s="8"/>
      <c r="G55" s="8"/>
      <c r="H55" s="8"/>
      <c r="I55" s="8"/>
      <c r="J55" s="8"/>
    </row>
    <row r="56" spans="1:10" x14ac:dyDescent="0.3">
      <c r="A56" s="28" t="s">
        <v>735</v>
      </c>
      <c r="B56" s="28"/>
      <c r="C56" s="28"/>
      <c r="D56" s="28"/>
      <c r="E56" s="28"/>
      <c r="F56" s="28"/>
      <c r="G56" s="28"/>
      <c r="H56" s="28"/>
      <c r="I56" s="28"/>
      <c r="J56" s="28"/>
    </row>
    <row r="57" spans="1:10" x14ac:dyDescent="0.3">
      <c r="A57" s="28"/>
      <c r="B57" s="28"/>
      <c r="C57" s="28"/>
      <c r="D57" s="28"/>
      <c r="E57" s="28"/>
      <c r="F57" s="28"/>
      <c r="G57" s="28"/>
      <c r="H57" s="28"/>
      <c r="I57" s="28"/>
      <c r="J57" s="28"/>
    </row>
    <row r="58" spans="1:10" x14ac:dyDescent="0.3">
      <c r="A58" s="28"/>
      <c r="B58" s="28"/>
      <c r="C58" s="28"/>
      <c r="D58" s="28"/>
      <c r="E58" s="28"/>
      <c r="F58" s="28"/>
      <c r="G58" s="28"/>
      <c r="H58" s="28"/>
      <c r="I58" s="28"/>
      <c r="J58" s="28"/>
    </row>
    <row r="59" spans="1:10" x14ac:dyDescent="0.3">
      <c r="A59" s="28"/>
      <c r="B59" s="28"/>
      <c r="C59" s="28"/>
      <c r="D59" s="28"/>
      <c r="E59" s="28"/>
      <c r="F59" s="28"/>
      <c r="G59" s="28"/>
      <c r="H59" s="28"/>
      <c r="I59" s="28"/>
      <c r="J59" s="28"/>
    </row>
    <row r="61" spans="1:10" x14ac:dyDescent="0.3">
      <c r="A61" s="29" t="s">
        <v>535</v>
      </c>
      <c r="B61" s="29" t="s">
        <v>736</v>
      </c>
      <c r="C61" s="29" t="s">
        <v>737</v>
      </c>
      <c r="D61" s="29" t="s">
        <v>738</v>
      </c>
    </row>
    <row r="62" spans="1:10" x14ac:dyDescent="0.3">
      <c r="A62" s="14" t="s">
        <v>491</v>
      </c>
      <c r="B62" s="14">
        <v>31</v>
      </c>
      <c r="C62" s="33">
        <v>0.1216</v>
      </c>
      <c r="D62" s="14" t="s">
        <v>739</v>
      </c>
    </row>
    <row r="63" spans="1:10" x14ac:dyDescent="0.3">
      <c r="A63" s="14" t="s">
        <v>489</v>
      </c>
      <c r="B63" s="14">
        <v>24</v>
      </c>
      <c r="C63" s="33">
        <v>9.4100000000000003E-2</v>
      </c>
      <c r="D63" s="14" t="s">
        <v>740</v>
      </c>
    </row>
    <row r="64" spans="1:10" x14ac:dyDescent="0.3">
      <c r="A64" s="14" t="s">
        <v>741</v>
      </c>
      <c r="B64" s="14">
        <v>23</v>
      </c>
      <c r="C64" s="33">
        <v>9.0200000000000002E-2</v>
      </c>
      <c r="D64" s="14" t="s">
        <v>742</v>
      </c>
    </row>
    <row r="65" spans="1:10" x14ac:dyDescent="0.3">
      <c r="A65" s="14" t="s">
        <v>743</v>
      </c>
      <c r="B65" s="14">
        <v>10</v>
      </c>
      <c r="C65" s="33">
        <v>3.9199999999999999E-2</v>
      </c>
      <c r="D65" s="14" t="s">
        <v>744</v>
      </c>
    </row>
    <row r="66" spans="1:10" x14ac:dyDescent="0.3">
      <c r="A66" s="14" t="s">
        <v>745</v>
      </c>
      <c r="B66" s="14">
        <v>7</v>
      </c>
      <c r="C66" s="33">
        <v>2.75E-2</v>
      </c>
      <c r="D66" s="14" t="s">
        <v>746</v>
      </c>
    </row>
    <row r="67" spans="1:10" x14ac:dyDescent="0.3">
      <c r="A67" s="14" t="s">
        <v>594</v>
      </c>
      <c r="B67" s="14">
        <v>6</v>
      </c>
      <c r="C67" s="33">
        <v>2.35E-2</v>
      </c>
      <c r="D67" s="14" t="s">
        <v>747</v>
      </c>
    </row>
    <row r="68" spans="1:10" x14ac:dyDescent="0.3">
      <c r="A68" s="14" t="s">
        <v>494</v>
      </c>
      <c r="B68" s="14">
        <v>3</v>
      </c>
      <c r="C68" s="33">
        <v>1.18E-2</v>
      </c>
      <c r="D68" s="14" t="s">
        <v>748</v>
      </c>
    </row>
    <row r="69" spans="1:10" x14ac:dyDescent="0.3">
      <c r="A69" s="14" t="s">
        <v>749</v>
      </c>
      <c r="B69" s="14">
        <v>2</v>
      </c>
      <c r="C69" s="33">
        <v>7.7999999999999996E-3</v>
      </c>
      <c r="D69" s="14" t="s">
        <v>750</v>
      </c>
    </row>
    <row r="70" spans="1:10" x14ac:dyDescent="0.3">
      <c r="A70" s="14" t="s">
        <v>751</v>
      </c>
      <c r="B70" s="14">
        <v>0</v>
      </c>
      <c r="C70" s="33">
        <v>0</v>
      </c>
      <c r="D70" s="14" t="s">
        <v>752</v>
      </c>
    </row>
    <row r="72" spans="1:10" x14ac:dyDescent="0.3">
      <c r="A72" s="8" t="s">
        <v>753</v>
      </c>
      <c r="B72" s="8"/>
      <c r="C72" s="8"/>
      <c r="D72" s="8"/>
      <c r="E72" s="8"/>
      <c r="F72" s="8"/>
      <c r="G72" s="8"/>
      <c r="H72" s="8"/>
      <c r="I72" s="8"/>
      <c r="J72" s="8"/>
    </row>
    <row r="73" spans="1:10" ht="144" x14ac:dyDescent="0.3">
      <c r="A73" s="34" t="s">
        <v>754</v>
      </c>
      <c r="B73" s="21" t="s">
        <v>1041</v>
      </c>
    </row>
    <row r="74" spans="1:10" ht="129.6" x14ac:dyDescent="0.3">
      <c r="A74" s="34" t="s">
        <v>755</v>
      </c>
      <c r="B74" s="21" t="s">
        <v>1042</v>
      </c>
    </row>
    <row r="75" spans="1:10" ht="100.8" x14ac:dyDescent="0.3">
      <c r="A75" s="34" t="s">
        <v>756</v>
      </c>
      <c r="B75" s="21" t="s">
        <v>757</v>
      </c>
    </row>
    <row r="76" spans="1:10" ht="86.4" x14ac:dyDescent="0.3">
      <c r="A76" s="34" t="s">
        <v>7</v>
      </c>
      <c r="B76" s="21" t="s">
        <v>758</v>
      </c>
    </row>
    <row r="77" spans="1:10" ht="86.4" x14ac:dyDescent="0.3">
      <c r="A77" s="34" t="s">
        <v>8</v>
      </c>
      <c r="B77" s="21" t="s">
        <v>759</v>
      </c>
    </row>
    <row r="78" spans="1:10" ht="72" x14ac:dyDescent="0.3">
      <c r="A78" s="34" t="s">
        <v>760</v>
      </c>
      <c r="B78" s="21" t="s">
        <v>761</v>
      </c>
    </row>
    <row r="79" spans="1:10" ht="115.2" x14ac:dyDescent="0.3">
      <c r="A79" s="34" t="s">
        <v>762</v>
      </c>
      <c r="B79" s="21" t="s">
        <v>763</v>
      </c>
    </row>
    <row r="80" spans="1:10" ht="100.8" x14ac:dyDescent="0.3">
      <c r="A80" s="34" t="s">
        <v>764</v>
      </c>
      <c r="B80" s="21" t="s">
        <v>765</v>
      </c>
    </row>
    <row r="82" spans="1:10" x14ac:dyDescent="0.3">
      <c r="A82" s="8" t="s">
        <v>766</v>
      </c>
      <c r="B82" s="8"/>
      <c r="C82" s="8"/>
      <c r="D82" s="8"/>
      <c r="E82" s="8"/>
      <c r="F82" s="8"/>
      <c r="G82" s="8"/>
      <c r="H82" s="8"/>
      <c r="I82" s="8"/>
      <c r="J82" s="8"/>
    </row>
    <row r="83" spans="1:10" x14ac:dyDescent="0.3">
      <c r="A83" s="28" t="s">
        <v>767</v>
      </c>
      <c r="B83" s="28"/>
      <c r="C83" s="28"/>
      <c r="D83" s="28"/>
      <c r="E83" s="28"/>
      <c r="F83" s="28"/>
      <c r="G83" s="28"/>
      <c r="H83" s="28"/>
      <c r="I83" s="28"/>
      <c r="J83" s="28"/>
    </row>
    <row r="84" spans="1:10" x14ac:dyDescent="0.3">
      <c r="A84" s="28"/>
      <c r="B84" s="28"/>
      <c r="C84" s="28"/>
      <c r="D84" s="28"/>
      <c r="E84" s="28"/>
      <c r="F84" s="28"/>
      <c r="G84" s="28"/>
      <c r="H84" s="28"/>
      <c r="I84" s="28"/>
      <c r="J84" s="28"/>
    </row>
    <row r="85" spans="1:10" x14ac:dyDescent="0.3">
      <c r="A85" s="28"/>
      <c r="B85" s="28"/>
      <c r="C85" s="28"/>
      <c r="D85" s="28"/>
      <c r="E85" s="28"/>
      <c r="F85" s="28"/>
      <c r="G85" s="28"/>
      <c r="H85" s="28"/>
      <c r="I85" s="28"/>
      <c r="J85" s="28"/>
    </row>
    <row r="86" spans="1:10" x14ac:dyDescent="0.3">
      <c r="A86" s="28"/>
      <c r="B86" s="28"/>
      <c r="C86" s="28"/>
      <c r="D86" s="28"/>
      <c r="E86" s="28"/>
      <c r="F86" s="28"/>
      <c r="G86" s="28"/>
      <c r="H86" s="28"/>
      <c r="I86" s="28"/>
      <c r="J86" s="28"/>
    </row>
    <row r="87" spans="1:10" x14ac:dyDescent="0.3">
      <c r="A87" s="28"/>
      <c r="B87" s="28"/>
      <c r="C87" s="28"/>
      <c r="D87" s="28"/>
      <c r="E87" s="28"/>
      <c r="F87" s="28"/>
      <c r="G87" s="28"/>
      <c r="H87" s="28"/>
      <c r="I87" s="28"/>
      <c r="J87" s="28"/>
    </row>
    <row r="88" spans="1:10" x14ac:dyDescent="0.3">
      <c r="A88" s="28"/>
      <c r="B88" s="28"/>
      <c r="C88" s="28"/>
      <c r="D88" s="28"/>
      <c r="E88" s="28"/>
      <c r="F88" s="28"/>
      <c r="G88" s="28"/>
      <c r="H88" s="28"/>
      <c r="I88" s="28"/>
      <c r="J88" s="28"/>
    </row>
    <row r="89" spans="1:10" x14ac:dyDescent="0.3">
      <c r="A89" s="28"/>
      <c r="B89" s="28"/>
      <c r="C89" s="28"/>
      <c r="D89" s="28"/>
      <c r="E89" s="28"/>
      <c r="F89" s="28"/>
      <c r="G89" s="28"/>
      <c r="H89" s="28"/>
      <c r="I89" s="28"/>
      <c r="J89" s="28"/>
    </row>
  </sheetData>
  <mergeCells count="14">
    <mergeCell ref="A82:J82"/>
    <mergeCell ref="A83:J89"/>
    <mergeCell ref="A40:J40"/>
    <mergeCell ref="A48:J48"/>
    <mergeCell ref="A49:J53"/>
    <mergeCell ref="A55:J55"/>
    <mergeCell ref="A56:J59"/>
    <mergeCell ref="A72:J72"/>
    <mergeCell ref="A1:J1"/>
    <mergeCell ref="A2:J2"/>
    <mergeCell ref="A4:J4"/>
    <mergeCell ref="B17:E17"/>
    <mergeCell ref="H17:J17"/>
    <mergeCell ref="A19:J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BD2B-BB4C-4ECE-A5D2-2DB0BE420A4A}">
  <dimension ref="A1:J89"/>
  <sheetViews>
    <sheetView topLeftCell="A77" workbookViewId="0">
      <selection activeCell="D96" sqref="D96"/>
    </sheetView>
  </sheetViews>
  <sheetFormatPr defaultRowHeight="14.4" x14ac:dyDescent="0.3"/>
  <cols>
    <col min="1" max="1" width="23.109375" customWidth="1"/>
    <col min="2" max="2" width="37" customWidth="1"/>
    <col min="3" max="3" width="14.77734375" customWidth="1"/>
    <col min="4" max="4" width="37" customWidth="1"/>
    <col min="5" max="5" width="12" customWidth="1"/>
    <col min="6" max="6" width="14.77734375" customWidth="1"/>
    <col min="7" max="7" width="15.77734375" customWidth="1"/>
    <col min="8" max="8" width="10.21875" customWidth="1"/>
    <col min="9" max="9" width="13.88671875" customWidth="1"/>
    <col min="10" max="10" width="16.6640625" customWidth="1"/>
  </cols>
  <sheetData>
    <row r="1" spans="1:10" ht="23.4" x14ac:dyDescent="0.45">
      <c r="A1" s="11" t="s">
        <v>508</v>
      </c>
      <c r="B1" s="11"/>
      <c r="C1" s="11"/>
      <c r="D1" s="11"/>
      <c r="E1" s="11"/>
      <c r="F1" s="11"/>
      <c r="G1" s="11"/>
      <c r="H1" s="11"/>
      <c r="I1" s="11"/>
      <c r="J1" s="11"/>
    </row>
    <row r="2" spans="1:10" x14ac:dyDescent="0.3">
      <c r="A2" s="12" t="s">
        <v>509</v>
      </c>
      <c r="B2" s="12"/>
      <c r="C2" s="12"/>
      <c r="D2" s="12"/>
      <c r="E2" s="12"/>
      <c r="F2" s="12"/>
      <c r="G2" s="12"/>
      <c r="H2" s="12"/>
      <c r="I2" s="12"/>
      <c r="J2" s="12"/>
    </row>
    <row r="4" spans="1:10" x14ac:dyDescent="0.3">
      <c r="A4" s="8" t="s">
        <v>510</v>
      </c>
      <c r="B4" s="8"/>
      <c r="C4" s="8"/>
      <c r="D4" s="8"/>
      <c r="E4" s="8"/>
      <c r="F4" s="8"/>
      <c r="G4" s="8"/>
      <c r="H4" s="8"/>
      <c r="I4" s="8"/>
      <c r="J4" s="8"/>
    </row>
    <row r="5" spans="1:10" x14ac:dyDescent="0.3">
      <c r="A5" s="13" t="s">
        <v>479</v>
      </c>
      <c r="B5" s="13" t="s">
        <v>511</v>
      </c>
      <c r="C5" s="13" t="s">
        <v>481</v>
      </c>
      <c r="D5" s="13" t="s">
        <v>482</v>
      </c>
      <c r="E5" s="13" t="s">
        <v>483</v>
      </c>
      <c r="F5" s="13" t="s">
        <v>512</v>
      </c>
      <c r="G5" s="13" t="s">
        <v>513</v>
      </c>
      <c r="H5" s="13" t="s">
        <v>486</v>
      </c>
      <c r="I5" s="13" t="s">
        <v>487</v>
      </c>
      <c r="J5" s="13" t="s">
        <v>488</v>
      </c>
    </row>
    <row r="6" spans="1:10" x14ac:dyDescent="0.3">
      <c r="A6" s="14">
        <v>1</v>
      </c>
      <c r="B6" s="14" t="s">
        <v>864</v>
      </c>
      <c r="C6" s="14" t="s">
        <v>515</v>
      </c>
      <c r="D6" s="14">
        <f>COUNTA(Table1[Bagaimana pendapat Saudara tentang perilaku Sikap kita terhadap seseorang yang menerima uang tambahan dari pasangan (suami/istri) di luar gaji/penghasilan yang biasa diterima, tanpa mempertanyakan...])</f>
        <v>255</v>
      </c>
      <c r="E6" s="15">
        <f>(COUNTIF(Table1[Bagaimana pendapat Saudara tentang perilaku Sikap kita terhadap seseorang yang menerima uang tambahan dari pasangan (suami/istri) di luar gaji/penghasilan yang biasa diterima, tanpa mempertanyakan...],"Wajar")*1+COUNTIF(Table1[Bagaimana pendapat Saudara tentang perilaku Sikap kita terhadap seseorang yang menerima uang tambahan dari pasangan (suami/istri) di luar gaji/penghasilan yang biasa diterima, tanpa mempertanyakan...],"Cenderung Wajar")*2+COUNTIF(Table1[Bagaimana pendapat Saudara tentang perilaku Sikap kita terhadap seseorang yang menerima uang tambahan dari pasangan (suami/istri) di luar gaji/penghasilan yang biasa diterima, tanpa mempertanyakan...],"Cenderung Tidak Wajar")*3+COUNTIF(Table1[Bagaimana pendapat Saudara tentang perilaku Sikap kita terhadap seseorang yang menerima uang tambahan dari pasangan (suami/istri) di luar gaji/penghasilan yang biasa diterima, tanpa mempertanyakan...],"Tidak Wajar")*4)/COUNTA(Table1[Bagaimana pendapat Saudara tentang perilaku Sikap kita terhadap seseorang yang menerima uang tambahan dari pasangan (suami/istri) di luar gaji/penghasilan yang biasa diterima, tanpa mempertanyakan...])</f>
        <v>3.0941176470588236</v>
      </c>
      <c r="F6" s="15">
        <f>E6*25</f>
        <v>77.352941176470594</v>
      </c>
      <c r="G6" s="14" t="str">
        <f>IF(F6&lt;65,"Tidak Baik",IF(F6&lt;=76.6,"Kurang Baik",IF(F6&lt;=88.3,"Baik","Sangat Baik")))</f>
        <v>Baik</v>
      </c>
      <c r="H6" s="14">
        <f>_xlfn.RANK.EQ(F6,$F$6:$F$14,1)</f>
        <v>1</v>
      </c>
      <c r="I6" s="14" t="str">
        <f>IF(H6&lt;=3,"Prioritas","Pertahankan")</f>
        <v>Prioritas</v>
      </c>
      <c r="J6" s="14" t="s">
        <v>516</v>
      </c>
    </row>
    <row r="7" spans="1:10" x14ac:dyDescent="0.3">
      <c r="A7" s="14">
        <v>2</v>
      </c>
      <c r="B7" s="14" t="s">
        <v>517</v>
      </c>
      <c r="C7" s="14" t="s">
        <v>518</v>
      </c>
      <c r="D7" s="14">
        <f>COUNTA(Table1[Bagaimana pendapat Saudara tentang perilaku Seorang Perangkat Desa menggunakan kendaraan dinas untuk keperluan keluarga / pribadi.?])</f>
        <v>255</v>
      </c>
      <c r="E7" s="15">
        <f>(COUNTIF(Table1[Bagaimana pendapat Saudara tentang perilaku Seorang Perangkat Desa menggunakan kendaraan dinas untuk keperluan keluarga / pribadi.?],"Wajar")*1+COUNTIF(Table1[Bagaimana pendapat Saudara tentang perilaku Seorang Perangkat Desa menggunakan kendaraan dinas untuk keperluan keluarga / pribadi.?],"Cenderung Wajar")*2+COUNTIF(Table1[Bagaimana pendapat Saudara tentang perilaku Seorang Perangkat Desa menggunakan kendaraan dinas untuk keperluan keluarga / pribadi.?],"Cenderung Tidak Wajar")*3+COUNTIF(Table1[Bagaimana pendapat Saudara tentang perilaku Seorang Perangkat Desa menggunakan kendaraan dinas untuk keperluan keluarga / pribadi.?],"Tidak Wajar")*4)/COUNTA(Table1[Bagaimana pendapat Saudara tentang perilaku Seorang Perangkat Desa menggunakan kendaraan dinas untuk keperluan keluarga / pribadi.?])</f>
        <v>3.2078431372549021</v>
      </c>
      <c r="F7" s="15">
        <f>E7*25</f>
        <v>80.196078431372555</v>
      </c>
      <c r="G7" s="14" t="str">
        <f>IF(F7&lt;65,"Tidak Baik",IF(F7&lt;=76.6,"Kurang Baik",IF(F7&lt;=88.3,"Baik","Sangat Baik")))</f>
        <v>Baik</v>
      </c>
      <c r="H7" s="14">
        <f>_xlfn.RANK.EQ(F7,$F$6:$F$14,1)</f>
        <v>3</v>
      </c>
      <c r="I7" s="14" t="str">
        <f>IF(H7&lt;=3,"Prioritas","Pertahankan")</f>
        <v>Prioritas</v>
      </c>
      <c r="J7" s="14" t="s">
        <v>516</v>
      </c>
    </row>
    <row r="8" spans="1:10" x14ac:dyDescent="0.3">
      <c r="A8" s="14">
        <v>3</v>
      </c>
      <c r="B8" s="14" t="s">
        <v>519</v>
      </c>
      <c r="C8" s="14" t="s">
        <v>520</v>
      </c>
      <c r="D8" s="14">
        <f>COUNTA(Table1[Bagaimana pendapat Saudara tentang perilaku Seseorang mengajak anggota keluarga dalam kampanye Pilkades/Pilkada/Pemilu demi mendapatkan lebih banyak imbalan (uang, barang, sembako, pulsa dll).?])</f>
        <v>255</v>
      </c>
      <c r="E8" s="15">
        <f>(COUNTIF(Table1[Bagaimana pendapat Saudara tentang perilaku Seseorang mengajak anggota keluarga dalam kampanye Pilkades/Pilkada/Pemilu demi mendapatkan lebih banyak imbalan (uang, barang, sembako, pulsa dll).?],"Wajar")*1+COUNTIF(Table1[Bagaimana pendapat Saudara tentang perilaku Seseorang mengajak anggota keluarga dalam kampanye Pilkades/Pilkada/Pemilu demi mendapatkan lebih banyak imbalan (uang, barang, sembako, pulsa dll).?],"Cenderung Wajar")*2+COUNTIF(Table1[Bagaimana pendapat Saudara tentang perilaku Seseorang mengajak anggota keluarga dalam kampanye Pilkades/Pilkada/Pemilu demi mendapatkan lebih banyak imbalan (uang, barang, sembako, pulsa dll).?],"Cenderung Tidak Wajar")*3+COUNTIF(Table1[Bagaimana pendapat Saudara tentang perilaku Seseorang mengajak anggota keluarga dalam kampanye Pilkades/Pilkada/Pemilu demi mendapatkan lebih banyak imbalan (uang, barang, sembako, pulsa dll).?],"Tidak Wajar")*4)/COUNTA(Table1[Bagaimana pendapat Saudara tentang perilaku Seseorang mengajak anggota keluarga dalam kampanye Pilkades/Pilkada/Pemilu demi mendapatkan lebih banyak imbalan (uang, barang, sembako, pulsa dll).?])</f>
        <v>3.3725490196078431</v>
      </c>
      <c r="F8" s="15">
        <f>E8*25</f>
        <v>84.313725490196077</v>
      </c>
      <c r="G8" s="14" t="str">
        <f>IF(F8&lt;65,"Tidak Baik",IF(F8&lt;=76.6,"Kurang Baik",IF(F8&lt;=88.3,"Baik","Sangat Baik")))</f>
        <v>Baik</v>
      </c>
      <c r="H8" s="14">
        <f>_xlfn.RANK.EQ(F8,$F$6:$F$14,1)</f>
        <v>7</v>
      </c>
      <c r="I8" s="14" t="str">
        <f>IF(H8&lt;=3,"Prioritas","Pertahankan")</f>
        <v>Pertahankan</v>
      </c>
      <c r="J8" s="14" t="s">
        <v>521</v>
      </c>
    </row>
    <row r="9" spans="1:10" x14ac:dyDescent="0.3">
      <c r="A9" s="14">
        <v>4</v>
      </c>
      <c r="B9" s="14" t="s">
        <v>522</v>
      </c>
      <c r="C9" s="14" t="s">
        <v>523</v>
      </c>
      <c r="D9" s="14">
        <f>COUNTA(Table1[Bagaimana pendapat Saudara tentang perilaku Seseorang memanfaatkan hubungan keluarga yang mempunyai kewenangan agar dipermudah dalam pelayanan publik.?])</f>
        <v>255</v>
      </c>
      <c r="E9" s="15">
        <f>(COUNTIF(Table1[Bagaimana pendapat Saudara tentang perilaku Seseorang memanfaatkan hubungan keluarga yang mempunyai kewenangan agar dipermudah dalam pelayanan publik.?],"Wajar")*1+COUNTIF(Table1[Bagaimana pendapat Saudara tentang perilaku Seseorang memanfaatkan hubungan keluarga yang mempunyai kewenangan agar dipermudah dalam pelayanan publik.?],"Cenderung Wajar")*2+COUNTIF(Table1[Bagaimana pendapat Saudara tentang perilaku Seseorang memanfaatkan hubungan keluarga yang mempunyai kewenangan agar dipermudah dalam pelayanan publik.?],"Cenderung Tidak Wajar")*3+COUNTIF(Table1[Bagaimana pendapat Saudara tentang perilaku Seseorang memanfaatkan hubungan keluarga yang mempunyai kewenangan agar dipermudah dalam pelayanan publik.?],"Tidak Wajar")*4)/COUNTA(Table1[Bagaimana pendapat Saudara tentang perilaku Seseorang memanfaatkan hubungan keluarga yang mempunyai kewenangan agar dipermudah dalam pelayanan publik.?])</f>
        <v>3.2039215686274511</v>
      </c>
      <c r="F9" s="15">
        <f>E9*25</f>
        <v>80.098039215686285</v>
      </c>
      <c r="G9" s="14" t="str">
        <f>IF(F9&lt;65,"Tidak Baik",IF(F9&lt;=76.6,"Kurang Baik",IF(F9&lt;=88.3,"Baik","Sangat Baik")))</f>
        <v>Baik</v>
      </c>
      <c r="H9" s="14">
        <f>_xlfn.RANK.EQ(F9,$F$6:$F$14,1)</f>
        <v>2</v>
      </c>
      <c r="I9" s="14" t="str">
        <f>IF(H9&lt;=3,"Prioritas","Pertahankan")</f>
        <v>Prioritas</v>
      </c>
      <c r="J9" s="14" t="s">
        <v>516</v>
      </c>
    </row>
    <row r="10" spans="1:10" x14ac:dyDescent="0.3">
      <c r="A10" s="14">
        <v>5</v>
      </c>
      <c r="B10" s="14" t="s">
        <v>524</v>
      </c>
      <c r="C10" s="14" t="s">
        <v>525</v>
      </c>
      <c r="D10" s="14">
        <f>COUNTA(Table1[Bagaimana pendapat Saudara tentang perilaku Seseorang bergaya hidup mewah di luar dari kemampuan agar diakui/dianggap berada oleh masyarkat.?])</f>
        <v>255</v>
      </c>
      <c r="E10" s="15">
        <f>(COUNTIF(Table1[Bagaimana pendapat Saudara tentang perilaku Seseorang bergaya hidup mewah di luar dari kemampuan agar diakui/dianggap berada oleh masyarkat.?],"Wajar")*1+COUNTIF(Table1[Bagaimana pendapat Saudara tentang perilaku Seseorang bergaya hidup mewah di luar dari kemampuan agar diakui/dianggap berada oleh masyarkat.?],"Cenderung Wajar")*2+COUNTIF(Table1[Bagaimana pendapat Saudara tentang perilaku Seseorang bergaya hidup mewah di luar dari kemampuan agar diakui/dianggap berada oleh masyarkat.?],"Cenderung Tidak Wajar")*3+COUNTIF(Table1[Bagaimana pendapat Saudara tentang perilaku Seseorang bergaya hidup mewah di luar dari kemampuan agar diakui/dianggap berada oleh masyarkat.?],"Tidak Wajar")*4)/COUNTA(Table1[Bagaimana pendapat Saudara tentang perilaku Seseorang bergaya hidup mewah di luar dari kemampuan agar diakui/dianggap berada oleh masyarkat.?])</f>
        <v>3.5450980392156861</v>
      </c>
      <c r="F10" s="15">
        <f>E10*25</f>
        <v>88.627450980392155</v>
      </c>
      <c r="G10" s="14" t="str">
        <f>IF(F10&lt;65,"Tidak Baik",IF(F10&lt;=76.6,"Kurang Baik",IF(F10&lt;=88.3,"Baik","Sangat Baik")))</f>
        <v>Sangat Baik</v>
      </c>
      <c r="H10" s="14">
        <f>_xlfn.RANK.EQ(F10,$F$6:$F$14,1)</f>
        <v>9</v>
      </c>
      <c r="I10" s="14" t="str">
        <f>IF(H10&lt;=3,"Prioritas","Pertahankan")</f>
        <v>Pertahankan</v>
      </c>
      <c r="J10" s="14" t="s">
        <v>521</v>
      </c>
    </row>
    <row r="11" spans="1:10" x14ac:dyDescent="0.3">
      <c r="A11" s="14">
        <v>6</v>
      </c>
      <c r="B11" s="14" t="s">
        <v>526</v>
      </c>
      <c r="C11" s="14" t="s">
        <v>527</v>
      </c>
      <c r="D11" s="14">
        <f>COUNTA(Table1[Bagaimana pendapat Saudara tentang perilaku Suatu keluarga memberi uang/barang/fasilitas yang lebih kepada Pejabat atau Perangkat Desa ketika melaksanakan hajatan (penikahan, khitanan, kematian dl...])</f>
        <v>255</v>
      </c>
      <c r="E11" s="15">
        <f>(COUNTIF(Table1[Bagaimana pendapat Saudara tentang perilaku Suatu keluarga memberi uang/barang/fasilitas yang lebih kepada Pejabat atau Perangkat Desa ketika melaksanakan hajatan (penikahan, khitanan, kematian dl...],"Wajar")*1+COUNTIF(Table1[Bagaimana pendapat Saudara tentang perilaku Suatu keluarga memberi uang/barang/fasilitas yang lebih kepada Pejabat atau Perangkat Desa ketika melaksanakan hajatan (penikahan, khitanan, kematian dl...],"Cenderung Wajar")*2+COUNTIF(Table1[Bagaimana pendapat Saudara tentang perilaku Suatu keluarga memberi uang/barang/fasilitas yang lebih kepada Pejabat atau Perangkat Desa ketika melaksanakan hajatan (penikahan, khitanan, kematian dl...],"Cenderung Tidak Wajar")*3+COUNTIF(Table1[Bagaimana pendapat Saudara tentang perilaku Suatu keluarga memberi uang/barang/fasilitas yang lebih kepada Pejabat atau Perangkat Desa ketika melaksanakan hajatan (penikahan, khitanan, kematian dl...],"Tidak Wajar")*4)/COUNTA(Table1[Bagaimana pendapat Saudara tentang perilaku Suatu keluarga memberi uang/barang/fasilitas yang lebih kepada Pejabat atau Perangkat Desa ketika melaksanakan hajatan (penikahan, khitanan, kematian dl...])</f>
        <v>3.223529411764706</v>
      </c>
      <c r="F11" s="15">
        <f>E11*25</f>
        <v>80.588235294117652</v>
      </c>
      <c r="G11" s="14" t="str">
        <f>IF(F11&lt;65,"Tidak Baik",IF(F11&lt;=76.6,"Kurang Baik",IF(F11&lt;=88.3,"Baik","Sangat Baik")))</f>
        <v>Baik</v>
      </c>
      <c r="H11" s="14">
        <f>_xlfn.RANK.EQ(F11,$F$6:$F$14,1)</f>
        <v>4</v>
      </c>
      <c r="I11" s="14" t="str">
        <f>IF(H11&lt;=3,"Prioritas","Pertahankan")</f>
        <v>Pertahankan</v>
      </c>
      <c r="J11" s="14" t="s">
        <v>521</v>
      </c>
    </row>
    <row r="12" spans="1:10" x14ac:dyDescent="0.3">
      <c r="A12" s="14">
        <v>7</v>
      </c>
      <c r="B12" s="14" t="s">
        <v>528</v>
      </c>
      <c r="C12" s="14" t="s">
        <v>645</v>
      </c>
      <c r="D12" s="14">
        <f>COUNTA(Table1[Bagaimana pendapat Saudara tentang perilaku Ketua RT / RW membantu calon Kepala Desa/Kepala Daerah/Legislatif untuk membagikan uang/barang/fasilitas kepada Masyarakat agar dipilih.?])</f>
        <v>255</v>
      </c>
      <c r="E12" s="15">
        <f>(COUNTIF(Table1[Bagaimana pendapat Saudara tentang perilaku Ketua RT / RW membantu calon Kepala Desa/Kepala Daerah/Legislatif untuk membagikan uang/barang/fasilitas kepada Masyarakat agar dipilih.?],"Wajar")*1+COUNTIF(Table1[Bagaimana pendapat Saudara tentang perilaku Ketua RT / RW membantu calon Kepala Desa/Kepala Daerah/Legislatif untuk membagikan uang/barang/fasilitas kepada Masyarakat agar dipilih.?],"Cenderung Wajar")*2+COUNTIF(Table1[Bagaimana pendapat Saudara tentang perilaku Ketua RT / RW membantu calon Kepala Desa/Kepala Daerah/Legislatif untuk membagikan uang/barang/fasilitas kepada Masyarakat agar dipilih.?],"Cenderung Tidak Wajar")*3+COUNTIF(Table1[Bagaimana pendapat Saudara tentang perilaku Ketua RT / RW membantu calon Kepala Desa/Kepala Daerah/Legislatif untuk membagikan uang/barang/fasilitas kepada Masyarakat agar dipilih.?],"Tidak Wajar")*4)/COUNTA(Table1[Bagaimana pendapat Saudara tentang perilaku Ketua RT / RW membantu calon Kepala Desa/Kepala Daerah/Legislatif untuk membagikan uang/barang/fasilitas kepada Masyarakat agar dipilih.?])</f>
        <v>3.3411764705882354</v>
      </c>
      <c r="F12" s="15">
        <f>E12*25</f>
        <v>83.529411764705884</v>
      </c>
      <c r="G12" s="14" t="str">
        <f>IF(F12&lt;65,"Tidak Baik",IF(F12&lt;=76.6,"Kurang Baik",IF(F12&lt;=88.3,"Baik","Sangat Baik")))</f>
        <v>Baik</v>
      </c>
      <c r="H12" s="14">
        <f>_xlfn.RANK.EQ(F12,$F$6:$F$14,1)</f>
        <v>5</v>
      </c>
      <c r="I12" s="14" t="str">
        <f>IF(H12&lt;=3,"Prioritas","Pertahankan")</f>
        <v>Pertahankan</v>
      </c>
      <c r="J12" s="14" t="s">
        <v>521</v>
      </c>
    </row>
    <row r="13" spans="1:10" x14ac:dyDescent="0.3">
      <c r="A13" s="14">
        <v>8</v>
      </c>
      <c r="B13" s="14" t="s">
        <v>529</v>
      </c>
      <c r="C13" s="14" t="s">
        <v>646</v>
      </c>
      <c r="D13" s="14">
        <f>COUNTA(Table1[Bagaimana pendapat Saudara tentang perilaku Kelompok/Lembaga Masyarakat menerima sumbangan/bantuan/pemberian/hibah dari seseorang tanpa mempertanyakan asal usulnya.?])</f>
        <v>255</v>
      </c>
      <c r="E13" s="15">
        <f>(COUNTIF(Table1[Bagaimana pendapat Saudara tentang perilaku Kelompok/Lembaga Masyarakat menerima sumbangan/bantuan/pemberian/hibah dari seseorang tanpa mempertanyakan asal usulnya.?],"Wajar")*1+COUNTIF(Table1[Bagaimana pendapat Saudara tentang perilaku Kelompok/Lembaga Masyarakat menerima sumbangan/bantuan/pemberian/hibah dari seseorang tanpa mempertanyakan asal usulnya.?],"Cenderung Wajar")*2+COUNTIF(Table1[Bagaimana pendapat Saudara tentang perilaku Kelompok/Lembaga Masyarakat menerima sumbangan/bantuan/pemberian/hibah dari seseorang tanpa mempertanyakan asal usulnya.?],"Cenderung Tidak Wajar")*3+COUNTIF(Table1[Bagaimana pendapat Saudara tentang perilaku Kelompok/Lembaga Masyarakat menerima sumbangan/bantuan/pemberian/hibah dari seseorang tanpa mempertanyakan asal usulnya.?],"Tidak Wajar")*4)/COUNTA(Table1[Bagaimana pendapat Saudara tentang perilaku Kelompok/Lembaga Masyarakat menerima sumbangan/bantuan/pemberian/hibah dari seseorang tanpa mempertanyakan asal usulnya.?])</f>
        <v>3.384313725490196</v>
      </c>
      <c r="F13" s="15">
        <f>E13*25</f>
        <v>84.607843137254903</v>
      </c>
      <c r="G13" s="14" t="str">
        <f>IF(F13&lt;65,"Tidak Baik",IF(F13&lt;=76.6,"Kurang Baik",IF(F13&lt;=88.3,"Baik","Sangat Baik")))</f>
        <v>Baik</v>
      </c>
      <c r="H13" s="14">
        <f>_xlfn.RANK.EQ(F13,$F$6:$F$14,1)</f>
        <v>8</v>
      </c>
      <c r="I13" s="14" t="str">
        <f>IF(H13&lt;=3,"Prioritas","Pertahankan")</f>
        <v>Pertahankan</v>
      </c>
      <c r="J13" s="14" t="s">
        <v>521</v>
      </c>
    </row>
    <row r="14" spans="1:10" x14ac:dyDescent="0.3">
      <c r="A14" s="14">
        <v>9</v>
      </c>
      <c r="B14" s="14" t="s">
        <v>530</v>
      </c>
      <c r="C14" s="14" t="s">
        <v>647</v>
      </c>
      <c r="D14" s="14">
        <f>COUNTA(Table1[Bagaimana pendapat Saudara tentang perilaku Ketua RT/RW/Kepala Desa mengusulkan warganya yang tidak sesuai kriteria untuk mendapatkan dana bantuan sosial.?])</f>
        <v>255</v>
      </c>
      <c r="E14" s="15">
        <f>(COUNTIF(Table1[Bagaimana pendapat Saudara tentang perilaku Ketua RT/RW/Kepala Desa mengusulkan warganya yang tidak sesuai kriteria untuk mendapatkan dana bantuan sosial.?],"Wajar")*1+COUNTIF(Table1[Bagaimana pendapat Saudara tentang perilaku Ketua RT/RW/Kepala Desa mengusulkan warganya yang tidak sesuai kriteria untuk mendapatkan dana bantuan sosial.?],"Cenderung Wajar")*2+COUNTIF(Table1[Bagaimana pendapat Saudara tentang perilaku Ketua RT/RW/Kepala Desa mengusulkan warganya yang tidak sesuai kriteria untuk mendapatkan dana bantuan sosial.?],"Cenderung Tidak Wajar")*3+COUNTIF(Table1[Bagaimana pendapat Saudara tentang perilaku Ketua RT/RW/Kepala Desa mengusulkan warganya yang tidak sesuai kriteria untuk mendapatkan dana bantuan sosial.?],"Tidak Wajar")*4)/COUNTA(Table1[Bagaimana pendapat Saudara tentang perilaku Ketua RT/RW/Kepala Desa mengusulkan warganya yang tidak sesuai kriteria untuk mendapatkan dana bantuan sosial.?])</f>
        <v>3.3568627450980393</v>
      </c>
      <c r="F14" s="15">
        <f>E14*25</f>
        <v>83.921568627450981</v>
      </c>
      <c r="G14" s="14" t="str">
        <f>IF(F14&lt;65,"Tidak Baik",IF(F14&lt;=76.6,"Kurang Baik",IF(F14&lt;=88.3,"Baik","Sangat Baik")))</f>
        <v>Baik</v>
      </c>
      <c r="H14" s="14">
        <f>_xlfn.RANK.EQ(F14,$F$6:$F$14,1)</f>
        <v>6</v>
      </c>
      <c r="I14" s="14" t="str">
        <f>IF(H14&lt;=3,"Prioritas","Pertahankan")</f>
        <v>Pertahankan</v>
      </c>
      <c r="J14" s="14" t="s">
        <v>521</v>
      </c>
    </row>
    <row r="17" spans="2:10" x14ac:dyDescent="0.3">
      <c r="B17" s="16" t="s">
        <v>531</v>
      </c>
      <c r="C17" s="16"/>
      <c r="D17" s="16"/>
      <c r="E17" s="16"/>
      <c r="F17" s="18">
        <f>AVERAGE(E6:E14)*25</f>
        <v>82.581699346405216</v>
      </c>
      <c r="G17" s="16" t="s">
        <v>532</v>
      </c>
      <c r="H17" s="16"/>
      <c r="I17" s="16"/>
      <c r="J17" s="16"/>
    </row>
    <row r="39" spans="1:10" x14ac:dyDescent="0.3">
      <c r="A39" s="8" t="s">
        <v>648</v>
      </c>
      <c r="B39" s="8"/>
      <c r="C39" s="8"/>
      <c r="D39" s="8"/>
      <c r="E39" s="8"/>
      <c r="F39" s="8"/>
      <c r="G39" s="8"/>
      <c r="H39" s="8"/>
      <c r="I39" s="8"/>
      <c r="J39" s="8"/>
    </row>
    <row r="40" spans="1:10" ht="72" x14ac:dyDescent="0.3">
      <c r="A40" s="26" t="s">
        <v>649</v>
      </c>
      <c r="B40" s="21" t="s">
        <v>650</v>
      </c>
    </row>
    <row r="41" spans="1:10" ht="129.6" x14ac:dyDescent="0.3">
      <c r="A41" s="26" t="s">
        <v>865</v>
      </c>
      <c r="B41" s="21" t="s">
        <v>866</v>
      </c>
    </row>
    <row r="42" spans="1:10" ht="86.4" x14ac:dyDescent="0.3">
      <c r="A42" s="26" t="s">
        <v>651</v>
      </c>
      <c r="B42" s="21" t="s">
        <v>652</v>
      </c>
    </row>
    <row r="43" spans="1:10" ht="72" x14ac:dyDescent="0.3">
      <c r="A43" s="26" t="s">
        <v>653</v>
      </c>
      <c r="B43" s="21" t="s">
        <v>654</v>
      </c>
    </row>
    <row r="44" spans="1:10" ht="72" x14ac:dyDescent="0.3">
      <c r="A44" s="26" t="s">
        <v>655</v>
      </c>
      <c r="B44" s="21" t="s">
        <v>656</v>
      </c>
    </row>
    <row r="45" spans="1:10" ht="86.4" x14ac:dyDescent="0.3">
      <c r="A45" s="26" t="s">
        <v>657</v>
      </c>
      <c r="B45" s="21" t="s">
        <v>658</v>
      </c>
    </row>
    <row r="47" spans="1:10" x14ac:dyDescent="0.3">
      <c r="A47" s="8" t="s">
        <v>659</v>
      </c>
      <c r="B47" s="8"/>
      <c r="C47" s="8"/>
      <c r="D47" s="8"/>
      <c r="E47" s="8"/>
      <c r="F47" s="8"/>
      <c r="G47" s="8"/>
      <c r="H47" s="8"/>
      <c r="I47" s="8"/>
      <c r="J47" s="8"/>
    </row>
    <row r="48" spans="1:10" x14ac:dyDescent="0.3">
      <c r="A48" s="28" t="s">
        <v>660</v>
      </c>
      <c r="B48" s="28"/>
      <c r="C48" s="28"/>
      <c r="D48" s="28"/>
      <c r="E48" s="28"/>
      <c r="F48" s="28"/>
      <c r="G48" s="28"/>
      <c r="H48" s="28"/>
      <c r="I48" s="28"/>
      <c r="J48" s="28"/>
    </row>
    <row r="49" spans="1:10" x14ac:dyDescent="0.3">
      <c r="A49" s="28"/>
      <c r="B49" s="28"/>
      <c r="C49" s="28"/>
      <c r="D49" s="28"/>
      <c r="E49" s="28"/>
      <c r="F49" s="28"/>
      <c r="G49" s="28"/>
      <c r="H49" s="28"/>
      <c r="I49" s="28"/>
      <c r="J49" s="28"/>
    </row>
    <row r="50" spans="1:10" x14ac:dyDescent="0.3">
      <c r="A50" s="28"/>
      <c r="B50" s="28"/>
      <c r="C50" s="28"/>
      <c r="D50" s="28"/>
      <c r="E50" s="28"/>
      <c r="F50" s="28"/>
      <c r="G50" s="28"/>
      <c r="H50" s="28"/>
      <c r="I50" s="28"/>
      <c r="J50" s="28"/>
    </row>
    <row r="51" spans="1:10" x14ac:dyDescent="0.3">
      <c r="A51" s="28"/>
      <c r="B51" s="28"/>
      <c r="C51" s="28"/>
      <c r="D51" s="28"/>
      <c r="E51" s="28"/>
      <c r="F51" s="28"/>
      <c r="G51" s="28"/>
      <c r="H51" s="28"/>
      <c r="I51" s="28"/>
      <c r="J51" s="28"/>
    </row>
    <row r="52" spans="1:10" x14ac:dyDescent="0.3">
      <c r="A52" s="28"/>
      <c r="B52" s="28"/>
      <c r="C52" s="28"/>
      <c r="D52" s="28"/>
      <c r="E52" s="28"/>
      <c r="F52" s="28"/>
      <c r="G52" s="28"/>
      <c r="H52" s="28"/>
      <c r="I52" s="28"/>
      <c r="J52" s="28"/>
    </row>
    <row r="53" spans="1:10" x14ac:dyDescent="0.3">
      <c r="A53" s="28"/>
      <c r="B53" s="28"/>
      <c r="C53" s="28"/>
      <c r="D53" s="28"/>
      <c r="E53" s="28"/>
      <c r="F53" s="28"/>
      <c r="G53" s="28"/>
      <c r="H53" s="28"/>
      <c r="I53" s="28"/>
      <c r="J53" s="28"/>
    </row>
    <row r="55" spans="1:10" x14ac:dyDescent="0.3">
      <c r="A55" s="8" t="s">
        <v>768</v>
      </c>
      <c r="B55" s="8"/>
      <c r="C55" s="8"/>
      <c r="D55" s="8"/>
      <c r="E55" s="8"/>
      <c r="F55" s="8"/>
      <c r="G55" s="8"/>
      <c r="H55" s="8"/>
      <c r="I55" s="8"/>
      <c r="J55" s="8"/>
    </row>
    <row r="56" spans="1:10" x14ac:dyDescent="0.3">
      <c r="A56" s="28" t="s">
        <v>769</v>
      </c>
      <c r="B56" s="28"/>
      <c r="C56" s="28"/>
      <c r="D56" s="28"/>
      <c r="E56" s="28"/>
      <c r="F56" s="28"/>
      <c r="G56" s="28"/>
      <c r="H56" s="28"/>
      <c r="I56" s="28"/>
      <c r="J56" s="28"/>
    </row>
    <row r="57" spans="1:10" x14ac:dyDescent="0.3">
      <c r="A57" s="28"/>
      <c r="B57" s="28"/>
      <c r="C57" s="28"/>
      <c r="D57" s="28"/>
      <c r="E57" s="28"/>
      <c r="F57" s="28"/>
      <c r="G57" s="28"/>
      <c r="H57" s="28"/>
      <c r="I57" s="28"/>
      <c r="J57" s="28"/>
    </row>
    <row r="58" spans="1:10" x14ac:dyDescent="0.3">
      <c r="A58" s="28"/>
      <c r="B58" s="28"/>
      <c r="C58" s="28"/>
      <c r="D58" s="28"/>
      <c r="E58" s="28"/>
      <c r="F58" s="28"/>
      <c r="G58" s="28"/>
      <c r="H58" s="28"/>
      <c r="I58" s="28"/>
      <c r="J58" s="28"/>
    </row>
    <row r="59" spans="1:10" x14ac:dyDescent="0.3">
      <c r="A59" s="28"/>
      <c r="B59" s="28"/>
      <c r="C59" s="28"/>
      <c r="D59" s="28"/>
      <c r="E59" s="28"/>
      <c r="F59" s="28"/>
      <c r="G59" s="28"/>
      <c r="H59" s="28"/>
      <c r="I59" s="28"/>
      <c r="J59" s="28"/>
    </row>
    <row r="61" spans="1:10" x14ac:dyDescent="0.3">
      <c r="A61" s="29" t="s">
        <v>770</v>
      </c>
      <c r="B61" s="29" t="s">
        <v>771</v>
      </c>
      <c r="C61" s="29" t="s">
        <v>737</v>
      </c>
      <c r="D61" s="29" t="s">
        <v>772</v>
      </c>
    </row>
    <row r="62" spans="1:10" x14ac:dyDescent="0.3">
      <c r="A62" s="14" t="s">
        <v>514</v>
      </c>
      <c r="B62" s="14">
        <v>70</v>
      </c>
      <c r="C62" s="33">
        <v>0.27450000000000002</v>
      </c>
      <c r="D62" s="14" t="s">
        <v>773</v>
      </c>
    </row>
    <row r="63" spans="1:10" x14ac:dyDescent="0.3">
      <c r="A63" s="14" t="s">
        <v>526</v>
      </c>
      <c r="B63" s="14">
        <v>54</v>
      </c>
      <c r="C63" s="33">
        <v>0.21179999999999999</v>
      </c>
      <c r="D63" s="14" t="s">
        <v>774</v>
      </c>
    </row>
    <row r="64" spans="1:10" x14ac:dyDescent="0.3">
      <c r="A64" s="14" t="s">
        <v>522</v>
      </c>
      <c r="B64" s="14">
        <v>53</v>
      </c>
      <c r="C64" s="33">
        <v>0.20780000000000001</v>
      </c>
      <c r="D64" s="14" t="s">
        <v>775</v>
      </c>
    </row>
    <row r="65" spans="1:10" x14ac:dyDescent="0.3">
      <c r="A65" s="14" t="s">
        <v>517</v>
      </c>
      <c r="B65" s="14">
        <v>52</v>
      </c>
      <c r="C65" s="33">
        <v>0.2039</v>
      </c>
      <c r="D65" s="14" t="s">
        <v>776</v>
      </c>
    </row>
    <row r="66" spans="1:10" x14ac:dyDescent="0.3">
      <c r="A66" s="14" t="s">
        <v>528</v>
      </c>
      <c r="B66" s="14">
        <v>42</v>
      </c>
      <c r="C66" s="33">
        <v>0.16470000000000001</v>
      </c>
      <c r="D66" s="14" t="s">
        <v>777</v>
      </c>
    </row>
    <row r="67" spans="1:10" x14ac:dyDescent="0.3">
      <c r="A67" s="14" t="s">
        <v>519</v>
      </c>
      <c r="B67" s="14">
        <v>40</v>
      </c>
      <c r="C67" s="33">
        <v>0.15690000000000001</v>
      </c>
      <c r="D67" s="14" t="s">
        <v>778</v>
      </c>
    </row>
    <row r="68" spans="1:10" x14ac:dyDescent="0.3">
      <c r="A68" s="14" t="s">
        <v>530</v>
      </c>
      <c r="B68" s="14">
        <v>38</v>
      </c>
      <c r="C68" s="33">
        <v>0.14899999999999999</v>
      </c>
      <c r="D68" s="14" t="s">
        <v>779</v>
      </c>
    </row>
    <row r="69" spans="1:10" x14ac:dyDescent="0.3">
      <c r="A69" s="14" t="s">
        <v>529</v>
      </c>
      <c r="B69" s="14">
        <v>32</v>
      </c>
      <c r="C69" s="33">
        <v>0.1255</v>
      </c>
      <c r="D69" s="14" t="s">
        <v>780</v>
      </c>
    </row>
    <row r="70" spans="1:10" x14ac:dyDescent="0.3">
      <c r="A70" s="14" t="s">
        <v>524</v>
      </c>
      <c r="B70" s="14">
        <v>20</v>
      </c>
      <c r="C70" s="33">
        <v>7.8399999999999997E-2</v>
      </c>
      <c r="D70" s="14" t="s">
        <v>781</v>
      </c>
    </row>
    <row r="72" spans="1:10" x14ac:dyDescent="0.3">
      <c r="A72" s="8" t="s">
        <v>782</v>
      </c>
      <c r="B72" s="8"/>
      <c r="C72" s="8"/>
      <c r="D72" s="8"/>
      <c r="E72" s="8"/>
      <c r="F72" s="8"/>
      <c r="G72" s="8"/>
      <c r="H72" s="8"/>
      <c r="I72" s="8"/>
      <c r="J72" s="8"/>
    </row>
    <row r="73" spans="1:10" ht="129.6" x14ac:dyDescent="0.3">
      <c r="A73" s="34" t="s">
        <v>783</v>
      </c>
      <c r="B73" s="21" t="s">
        <v>1043</v>
      </c>
    </row>
    <row r="74" spans="1:10" ht="100.8" x14ac:dyDescent="0.3">
      <c r="A74" s="34" t="s">
        <v>755</v>
      </c>
      <c r="B74" s="21" t="s">
        <v>784</v>
      </c>
    </row>
    <row r="75" spans="1:10" ht="86.4" x14ac:dyDescent="0.3">
      <c r="A75" s="34" t="s">
        <v>785</v>
      </c>
      <c r="B75" s="21" t="s">
        <v>786</v>
      </c>
    </row>
    <row r="76" spans="1:10" ht="115.2" x14ac:dyDescent="0.3">
      <c r="A76" s="34" t="s">
        <v>8</v>
      </c>
      <c r="B76" s="21" t="s">
        <v>787</v>
      </c>
    </row>
    <row r="77" spans="1:10" ht="86.4" x14ac:dyDescent="0.3">
      <c r="A77" s="34" t="s">
        <v>9</v>
      </c>
      <c r="B77" s="21" t="s">
        <v>788</v>
      </c>
    </row>
    <row r="78" spans="1:10" ht="115.2" x14ac:dyDescent="0.3">
      <c r="A78" s="34" t="s">
        <v>762</v>
      </c>
      <c r="B78" s="21" t="s">
        <v>789</v>
      </c>
    </row>
    <row r="79" spans="1:10" ht="100.8" x14ac:dyDescent="0.3">
      <c r="A79" s="34" t="s">
        <v>764</v>
      </c>
      <c r="B79" s="21" t="s">
        <v>790</v>
      </c>
    </row>
    <row r="80" spans="1:10" ht="86.4" x14ac:dyDescent="0.3">
      <c r="A80" s="34" t="s">
        <v>791</v>
      </c>
      <c r="B80" s="21" t="s">
        <v>792</v>
      </c>
    </row>
    <row r="82" spans="1:10" x14ac:dyDescent="0.3">
      <c r="A82" s="8" t="s">
        <v>766</v>
      </c>
      <c r="B82" s="8"/>
      <c r="C82" s="8"/>
      <c r="D82" s="8"/>
      <c r="E82" s="8"/>
      <c r="F82" s="8"/>
      <c r="G82" s="8"/>
      <c r="H82" s="8"/>
      <c r="I82" s="8"/>
      <c r="J82" s="8"/>
    </row>
    <row r="83" spans="1:10" x14ac:dyDescent="0.3">
      <c r="A83" s="28" t="s">
        <v>793</v>
      </c>
      <c r="B83" s="28"/>
      <c r="C83" s="28"/>
      <c r="D83" s="28"/>
      <c r="E83" s="28"/>
      <c r="F83" s="28"/>
      <c r="G83" s="28"/>
      <c r="H83" s="28"/>
      <c r="I83" s="28"/>
      <c r="J83" s="28"/>
    </row>
    <row r="84" spans="1:10" x14ac:dyDescent="0.3">
      <c r="A84" s="28"/>
      <c r="B84" s="28"/>
      <c r="C84" s="28"/>
      <c r="D84" s="28"/>
      <c r="E84" s="28"/>
      <c r="F84" s="28"/>
      <c r="G84" s="28"/>
      <c r="H84" s="28"/>
      <c r="I84" s="28"/>
      <c r="J84" s="28"/>
    </row>
    <row r="85" spans="1:10" x14ac:dyDescent="0.3">
      <c r="A85" s="28"/>
      <c r="B85" s="28"/>
      <c r="C85" s="28"/>
      <c r="D85" s="28"/>
      <c r="E85" s="28"/>
      <c r="F85" s="28"/>
      <c r="G85" s="28"/>
      <c r="H85" s="28"/>
      <c r="I85" s="28"/>
      <c r="J85" s="28"/>
    </row>
    <row r="86" spans="1:10" x14ac:dyDescent="0.3">
      <c r="A86" s="28"/>
      <c r="B86" s="28"/>
      <c r="C86" s="28"/>
      <c r="D86" s="28"/>
      <c r="E86" s="28"/>
      <c r="F86" s="28"/>
      <c r="G86" s="28"/>
      <c r="H86" s="28"/>
      <c r="I86" s="28"/>
      <c r="J86" s="28"/>
    </row>
    <row r="87" spans="1:10" x14ac:dyDescent="0.3">
      <c r="A87" s="28"/>
      <c r="B87" s="28"/>
      <c r="C87" s="28"/>
      <c r="D87" s="28"/>
      <c r="E87" s="28"/>
      <c r="F87" s="28"/>
      <c r="G87" s="28"/>
      <c r="H87" s="28"/>
      <c r="I87" s="28"/>
      <c r="J87" s="28"/>
    </row>
    <row r="88" spans="1:10" x14ac:dyDescent="0.3">
      <c r="A88" s="28"/>
      <c r="B88" s="28"/>
      <c r="C88" s="28"/>
      <c r="D88" s="28"/>
      <c r="E88" s="28"/>
      <c r="F88" s="28"/>
      <c r="G88" s="28"/>
      <c r="H88" s="28"/>
      <c r="I88" s="28"/>
      <c r="J88" s="28"/>
    </row>
    <row r="89" spans="1:10" x14ac:dyDescent="0.3">
      <c r="A89" s="28"/>
      <c r="B89" s="28"/>
      <c r="C89" s="28"/>
      <c r="D89" s="28"/>
      <c r="E89" s="28"/>
      <c r="F89" s="28"/>
      <c r="G89" s="28"/>
      <c r="H89" s="28"/>
      <c r="I89" s="28"/>
      <c r="J89" s="28"/>
    </row>
  </sheetData>
  <mergeCells count="13">
    <mergeCell ref="A83:J89"/>
    <mergeCell ref="A47:J47"/>
    <mergeCell ref="A48:J53"/>
    <mergeCell ref="A55:J55"/>
    <mergeCell ref="A56:J59"/>
    <mergeCell ref="A72:J72"/>
    <mergeCell ref="A82:J82"/>
    <mergeCell ref="A1:J1"/>
    <mergeCell ref="A2:J2"/>
    <mergeCell ref="A4:J4"/>
    <mergeCell ref="B17:E17"/>
    <mergeCell ref="G17:J17"/>
    <mergeCell ref="A39:J3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211A-36E9-4129-B4A6-2EEF4B45CF59}">
  <dimension ref="A1:J104"/>
  <sheetViews>
    <sheetView topLeftCell="A89" workbookViewId="0">
      <selection activeCell="E33" sqref="E33"/>
    </sheetView>
  </sheetViews>
  <sheetFormatPr defaultRowHeight="14.4" x14ac:dyDescent="0.3"/>
  <cols>
    <col min="1" max="1" width="23.109375" customWidth="1"/>
    <col min="2" max="2" width="37" customWidth="1"/>
    <col min="3" max="3" width="14.77734375" customWidth="1"/>
    <col min="4" max="4" width="37" customWidth="1"/>
    <col min="5" max="10" width="15.77734375" customWidth="1"/>
  </cols>
  <sheetData>
    <row r="1" spans="1:10" ht="23.4" x14ac:dyDescent="0.45">
      <c r="A1" s="11" t="s">
        <v>533</v>
      </c>
      <c r="B1" s="11"/>
      <c r="C1" s="11"/>
      <c r="D1" s="11"/>
      <c r="E1" s="11"/>
      <c r="F1" s="11"/>
      <c r="G1" s="11"/>
      <c r="H1" s="11"/>
      <c r="I1" s="11"/>
      <c r="J1" s="11"/>
    </row>
    <row r="2" spans="1:10" x14ac:dyDescent="0.3">
      <c r="A2" s="35" t="s">
        <v>796</v>
      </c>
      <c r="B2" s="35"/>
      <c r="C2" s="35"/>
      <c r="D2" s="35"/>
      <c r="E2" s="35"/>
      <c r="F2" s="35"/>
      <c r="G2" s="35"/>
      <c r="H2" s="35"/>
      <c r="I2" s="35"/>
      <c r="J2" s="35"/>
    </row>
    <row r="4" spans="1:10" x14ac:dyDescent="0.3">
      <c r="A4" s="8" t="s">
        <v>534</v>
      </c>
      <c r="B4" s="8"/>
      <c r="C4" s="8"/>
      <c r="D4" s="8"/>
      <c r="E4" s="8"/>
      <c r="F4" s="8"/>
      <c r="G4" s="8"/>
      <c r="H4" s="8"/>
      <c r="I4" s="8"/>
      <c r="J4" s="8"/>
    </row>
    <row r="5" spans="1:10" x14ac:dyDescent="0.3">
      <c r="A5" s="29" t="s">
        <v>479</v>
      </c>
      <c r="B5" s="29" t="s">
        <v>535</v>
      </c>
      <c r="C5" s="29" t="s">
        <v>481</v>
      </c>
      <c r="D5" s="29" t="s">
        <v>482</v>
      </c>
      <c r="E5" s="29" t="s">
        <v>483</v>
      </c>
      <c r="F5" s="29" t="s">
        <v>797</v>
      </c>
      <c r="G5" s="29" t="s">
        <v>513</v>
      </c>
      <c r="H5" s="29" t="s">
        <v>486</v>
      </c>
      <c r="I5" s="29" t="s">
        <v>487</v>
      </c>
      <c r="J5" s="29" t="s">
        <v>798</v>
      </c>
    </row>
    <row r="6" spans="1:10" x14ac:dyDescent="0.3">
      <c r="A6" s="14">
        <v>1</v>
      </c>
      <c r="B6" s="14" t="s">
        <v>537</v>
      </c>
      <c r="C6" s="14" t="s">
        <v>538</v>
      </c>
      <c r="D6" s="14">
        <f>COUNTA(Table1[Apakah Perangkat Desa Mertasari dalam memberikan pelayanan menerapkan prinsip berintegritas dan berperilaku sesuai etika?])</f>
        <v>255</v>
      </c>
      <c r="E6" s="15">
        <f>(COUNTIF(Table1[Apakah Perangkat Desa Mertasari dalam memberikan pelayanan menerapkan prinsip berintegritas dan berperilaku sesuai etika?],"Tidak Pernah")*1+COUNTIF(Table1[Apakah Perangkat Desa Mertasari dalam memberikan pelayanan menerapkan prinsip berintegritas dan berperilaku sesuai etika?],"Kadang-Kadang")*2+COUNTIF(Table1[Apakah Perangkat Desa Mertasari dalam memberikan pelayanan menerapkan prinsip berintegritas dan berperilaku sesuai etika?],"Pernah")*3+COUNTIF(Table1[Apakah Perangkat Desa Mertasari dalam memberikan pelayanan menerapkan prinsip berintegritas dan berperilaku sesuai etika?],"Selalu")*4)/COUNTA(Table1[Apakah Perangkat Desa Mertasari dalam memberikan pelayanan menerapkan prinsip berintegritas dan berperilaku sesuai etika?])</f>
        <v>3.6823529411764704</v>
      </c>
      <c r="F6" s="15">
        <f>E6*25</f>
        <v>92.058823529411754</v>
      </c>
      <c r="G6" s="14" t="str">
        <f>IF(F6&lt;65,"Tidak Baik",IF(F6&lt;=76.6,"Kurang Baik",IF(F6&lt;=88.3,"Baik","Sangat Baik")))</f>
        <v>Sangat Baik</v>
      </c>
      <c r="H6" s="14">
        <f>_xlfn.RANK.EQ(F6,$F$6:$F$17,1)</f>
        <v>12</v>
      </c>
      <c r="I6" s="14" t="str">
        <f>IF(H6&lt;=3,"Prioritas",IF(F6&lt;76.61,"Perlu diperkuat","Pertahankan"))</f>
        <v>Pertahankan</v>
      </c>
      <c r="J6" s="14" t="str">
        <f>IF(F6&lt;65,"Kritis",IF(F6&lt;76.61,"Belum merata","Memadai"))</f>
        <v>Memadai</v>
      </c>
    </row>
    <row r="7" spans="1:10" x14ac:dyDescent="0.3">
      <c r="A7" s="14">
        <v>2</v>
      </c>
      <c r="B7" s="14" t="s">
        <v>539</v>
      </c>
      <c r="C7" s="14" t="s">
        <v>540</v>
      </c>
      <c r="D7" s="14">
        <f>COUNTA(Table1[Apakah Anda pernah mengetahui adanya sosialisasi antikorupsi di Desa Mertasari?])</f>
        <v>255</v>
      </c>
      <c r="E7" s="15">
        <f>(COUNTIF(Table1[Apakah Anda pernah mengetahui adanya sosialisasi antikorupsi di Desa Mertasari?],"Tidak Pernah")*1+COUNTIF(Table1[Apakah Anda pernah mengetahui adanya sosialisasi antikorupsi di Desa Mertasari?],"Jarang")*2+COUNTIF(Table1[Apakah Anda pernah mengetahui adanya sosialisasi antikorupsi di Desa Mertasari?],"Sering")*3+COUNTIF(Table1[Apakah Anda pernah mengetahui adanya sosialisasi antikorupsi di Desa Mertasari?],"Sangat Sering")*4)/COUNTA(Table1[Apakah Anda pernah mengetahui adanya sosialisasi antikorupsi di Desa Mertasari?])</f>
        <v>2.9803921568627452</v>
      </c>
      <c r="F7" s="15">
        <f>E7*25</f>
        <v>74.509803921568633</v>
      </c>
      <c r="G7" s="14" t="str">
        <f>IF(F7&lt;65,"Tidak Baik",IF(F7&lt;=76.6,"Kurang Baik",IF(F7&lt;=88.3,"Baik","Sangat Baik")))</f>
        <v>Kurang Baik</v>
      </c>
      <c r="H7" s="14">
        <f>_xlfn.RANK.EQ(F7,$F$6:$F$17,1)</f>
        <v>9</v>
      </c>
      <c r="I7" s="14" t="str">
        <f>IF(H7&lt;=3,"Prioritas",IF(F7&lt;76.61,"Perlu diperkuat","Pertahankan"))</f>
        <v>Perlu diperkuat</v>
      </c>
      <c r="J7" s="14" t="str">
        <f>IF(F7&lt;65,"Kritis",IF(F7&lt;76.61,"Belum merata","Memadai"))</f>
        <v>Belum merata</v>
      </c>
    </row>
    <row r="8" spans="1:10" x14ac:dyDescent="0.3">
      <c r="A8" s="14">
        <v>3</v>
      </c>
      <c r="B8" s="14" t="s">
        <v>799</v>
      </c>
      <c r="C8" s="14" t="s">
        <v>541</v>
      </c>
      <c r="D8" s="14">
        <f>COUNTA(Table1[Apakah Anda bersedia memberikan contoh dalam mengimplementasikan 9 nilai antikorupsi dalam kehidupan sehari-hari?])</f>
        <v>255</v>
      </c>
      <c r="E8" s="15">
        <f>(COUNTIF(Table1[Apakah Anda bersedia memberikan contoh dalam mengimplementasikan 9 nilai antikorupsi dalam kehidupan sehari-hari?],"Tidak Bersedia")*1+COUNTIF(Table1[Apakah Anda bersedia memberikan contoh dalam mengimplementasikan 9 nilai antikorupsi dalam kehidupan sehari-hari?],"Ragu-Ragu")*2+COUNTIF(Table1[Apakah Anda bersedia memberikan contoh dalam mengimplementasikan 9 nilai antikorupsi dalam kehidupan sehari-hari?],"Bersedia")*3+COUNTIF(Table1[Apakah Anda bersedia memberikan contoh dalam mengimplementasikan 9 nilai antikorupsi dalam kehidupan sehari-hari?],"Sangat Bersedia")*4)/COUNTA(Table1[Apakah Anda bersedia memberikan contoh dalam mengimplementasikan 9 nilai antikorupsi dalam kehidupan sehari-hari?])</f>
        <v>2.9215686274509802</v>
      </c>
      <c r="F8" s="15">
        <f>E8*25</f>
        <v>73.039215686274503</v>
      </c>
      <c r="G8" s="14" t="str">
        <f>IF(F8&lt;65,"Tidak Baik",IF(F8&lt;=76.6,"Kurang Baik",IF(F8&lt;=88.3,"Baik","Sangat Baik")))</f>
        <v>Kurang Baik</v>
      </c>
      <c r="H8" s="14">
        <f>_xlfn.RANK.EQ(F8,$F$6:$F$17,1)</f>
        <v>8</v>
      </c>
      <c r="I8" s="14" t="str">
        <f>IF(H8&lt;=3,"Prioritas",IF(F8&lt;76.61,"Perlu diperkuat","Pertahankan"))</f>
        <v>Perlu diperkuat</v>
      </c>
      <c r="J8" s="14" t="str">
        <f>IF(F8&lt;65,"Kritis",IF(F8&lt;76.61,"Belum merata","Memadai"))</f>
        <v>Belum merata</v>
      </c>
    </row>
    <row r="9" spans="1:10" x14ac:dyDescent="0.3">
      <c r="A9" s="14">
        <v>4</v>
      </c>
      <c r="B9" s="14" t="s">
        <v>800</v>
      </c>
      <c r="C9" s="14" t="s">
        <v>543</v>
      </c>
      <c r="D9" s="14">
        <f>COUNTA(Table1[Apakah Anda mengetahui adanya adat istiadat / budaya yang mendorong upaya pencegahan korupsi di Desa Mertasari?])</f>
        <v>255</v>
      </c>
      <c r="E9" s="15">
        <f>(COUNTIF(Table1[Apakah Anda mengetahui adanya adat istiadat / budaya yang mendorong upaya pencegahan korupsi di Desa Mertasari?],"Tidak Tahu")*1+COUNTIF(Table1[Apakah Anda mengetahui adanya adat istiadat / budaya yang mendorong upaya pencegahan korupsi di Desa Mertasari?],"Kurang Tahu")*2+COUNTIF(Table1[Apakah Anda mengetahui adanya adat istiadat / budaya yang mendorong upaya pencegahan korupsi di Desa Mertasari?],"Tahu")*3+COUNTIF(Table1[Apakah Anda mengetahui adanya adat istiadat / budaya yang mendorong upaya pencegahan korupsi di Desa Mertasari?],"Sangat Tahu")*4)/COUNTA(Table1[Apakah Anda mengetahui adanya adat istiadat / budaya yang mendorong upaya pencegahan korupsi di Desa Mertasari?])</f>
        <v>2.8627450980392157</v>
      </c>
      <c r="F9" s="15">
        <f>E9*25</f>
        <v>71.568627450980387</v>
      </c>
      <c r="G9" s="14" t="str">
        <f>IF(F9&lt;65,"Tidak Baik",IF(F9&lt;=76.6,"Kurang Baik",IF(F9&lt;=88.3,"Baik","Sangat Baik")))</f>
        <v>Kurang Baik</v>
      </c>
      <c r="H9" s="14">
        <f>_xlfn.RANK.EQ(F9,$F$6:$F$17,1)</f>
        <v>4</v>
      </c>
      <c r="I9" s="14" t="str">
        <f>IF(H9&lt;=3,"Prioritas",IF(F9&lt;76.61,"Perlu diperkuat","Pertahankan"))</f>
        <v>Perlu diperkuat</v>
      </c>
      <c r="J9" s="14" t="str">
        <f>IF(F9&lt;65,"Kritis",IF(F9&lt;76.61,"Belum merata","Memadai"))</f>
        <v>Belum merata</v>
      </c>
    </row>
    <row r="10" spans="1:10" x14ac:dyDescent="0.3">
      <c r="A10" s="14">
        <v>5</v>
      </c>
      <c r="B10" s="14" t="s">
        <v>544</v>
      </c>
      <c r="C10" s="14" t="s">
        <v>545</v>
      </c>
      <c r="D10" s="14">
        <f>COUNTA(Table1[Apakah Anda mengetahui peran Tokoh masyarakat, tokoh agama, tokoh adat, tokoh pemuda dan kaum perempuan dalam mendorong upaya pencegahan korupsi di Desa Mertasari?])</f>
        <v>255</v>
      </c>
      <c r="E10" s="15">
        <f>(COUNTIF(Table1[Apakah Anda mengetahui peran Tokoh masyarakat, tokoh agama, tokoh adat, tokoh pemuda dan kaum perempuan dalam mendorong upaya pencegahan korupsi di Desa Mertasari?],"Tidak Tahu")*1+COUNTIF(Table1[Apakah Anda mengetahui peran Tokoh masyarakat, tokoh agama, tokoh adat, tokoh pemuda dan kaum perempuan dalam mendorong upaya pencegahan korupsi di Desa Mertasari?],"Kurang Tahu")*2+COUNTIF(Table1[Apakah Anda mengetahui peran Tokoh masyarakat, tokoh agama, tokoh adat, tokoh pemuda dan kaum perempuan dalam mendorong upaya pencegahan korupsi di Desa Mertasari?],"Tahu")*3+COUNTIF(Table1[Apakah Anda mengetahui peran Tokoh masyarakat, tokoh agama, tokoh adat, tokoh pemuda dan kaum perempuan dalam mendorong upaya pencegahan korupsi di Desa Mertasari?],"Sangat Tahu")*4)/COUNTA(Table1[Apakah Anda mengetahui peran Tokoh masyarakat, tokoh agama, tokoh adat, tokoh pemuda dan kaum perempuan dalam mendorong upaya pencegahan korupsi di Desa Mertasari?])</f>
        <v>2.8862745098039215</v>
      </c>
      <c r="F10" s="15">
        <f>E10*25</f>
        <v>72.156862745098039</v>
      </c>
      <c r="G10" s="14" t="str">
        <f>IF(F10&lt;65,"Tidak Baik",IF(F10&lt;=76.6,"Kurang Baik",IF(F10&lt;=88.3,"Baik","Sangat Baik")))</f>
        <v>Kurang Baik</v>
      </c>
      <c r="H10" s="14">
        <f>_xlfn.RANK.EQ(F10,$F$6:$F$17,1)</f>
        <v>5</v>
      </c>
      <c r="I10" s="14" t="str">
        <f>IF(H10&lt;=3,"Prioritas",IF(F10&lt;76.61,"Perlu diperkuat","Pertahankan"))</f>
        <v>Perlu diperkuat</v>
      </c>
      <c r="J10" s="14" t="str">
        <f>IF(F10&lt;65,"Kritis",IF(F10&lt;76.61,"Belum merata","Memadai"))</f>
        <v>Belum merata</v>
      </c>
    </row>
    <row r="11" spans="1:10" x14ac:dyDescent="0.3">
      <c r="A11" s="14">
        <v>6</v>
      </c>
      <c r="B11" s="14" t="s">
        <v>801</v>
      </c>
      <c r="C11" s="14" t="s">
        <v>547</v>
      </c>
      <c r="D11" s="14">
        <f>COUNTA(Table1[Apakah Anda mengetahui adanya Maklumat Pelayanan di Kantor Desa Mertasari?])</f>
        <v>255</v>
      </c>
      <c r="E11" s="15">
        <f>(COUNTIF(Table1[Apakah Anda mengetahui adanya Maklumat Pelayanan di Kantor Desa Mertasari?],"Tidak Tahu")*1+COUNTIF(Table1[Apakah Anda mengetahui adanya Maklumat Pelayanan di Kantor Desa Mertasari?],"Kurang Tahu")*2+COUNTIF(Table1[Apakah Anda mengetahui adanya Maklumat Pelayanan di Kantor Desa Mertasari?],"Tahu")*3+COUNTIF(Table1[Apakah Anda mengetahui adanya Maklumat Pelayanan di Kantor Desa Mertasari?],"Sangat Tahu")*4)/COUNTA(Table1[Apakah Anda mengetahui adanya Maklumat Pelayanan di Kantor Desa Mertasari?])</f>
        <v>2.8901960784313725</v>
      </c>
      <c r="F11" s="15">
        <f>E11*25</f>
        <v>72.254901960784309</v>
      </c>
      <c r="G11" s="14" t="str">
        <f>IF(F11&lt;65,"Tidak Baik",IF(F11&lt;=76.6,"Kurang Baik",IF(F11&lt;=88.3,"Baik","Sangat Baik")))</f>
        <v>Kurang Baik</v>
      </c>
      <c r="H11" s="14">
        <f>_xlfn.RANK.EQ(F11,$F$6:$F$17,1)</f>
        <v>7</v>
      </c>
      <c r="I11" s="14" t="str">
        <f>IF(H11&lt;=3,"Prioritas",IF(F11&lt;76.61,"Perlu diperkuat","Pertahankan"))</f>
        <v>Perlu diperkuat</v>
      </c>
      <c r="J11" s="14" t="str">
        <f>IF(F11&lt;65,"Kritis",IF(F11&lt;76.61,"Belum merata","Memadai"))</f>
        <v>Belum merata</v>
      </c>
    </row>
    <row r="12" spans="1:10" x14ac:dyDescent="0.3">
      <c r="A12" s="14">
        <v>7</v>
      </c>
      <c r="B12" s="14" t="s">
        <v>802</v>
      </c>
      <c r="C12" s="14" t="s">
        <v>549</v>
      </c>
      <c r="D12" s="14">
        <f>COUNTA(Table1[Apakah Anda sepakat dengan kalimat "Dengan ini, kami menyatakan sanggup menyelenggarakan pelayanan dengan sebaik-baiknya sesuai standar pelayanan yang telah ditetapkan, serta melakukan upaya perba...])</f>
        <v>255</v>
      </c>
      <c r="E12" s="15">
        <f>(COUNTIF(Table1[Apakah Anda sepakat dengan kalimat "Dengan ini, kami menyatakan sanggup menyelenggarakan pelayanan dengan sebaik-baiknya sesuai standar pelayanan yang telah ditetapkan, serta melakukan upaya perba...],"Kurang Setuju")*2+COUNTIF(Table1[Apakah Anda sepakat dengan kalimat "Dengan ini, kami menyatakan sanggup menyelenggarakan pelayanan dengan sebaik-baiknya sesuai standar pelayanan yang telah ditetapkan, serta melakukan upaya perba...],"Setuju")*3+COUNTIF(Table1[Apakah Anda sepakat dengan kalimat "Dengan ini, kami menyatakan sanggup menyelenggarakan pelayanan dengan sebaik-baiknya sesuai standar pelayanan yang telah ditetapkan, serta melakukan upaya perba...],"Sangat Setuju")*4)/COUNTA(Table1[Apakah Anda sepakat dengan kalimat "Dengan ini, kami menyatakan sanggup menyelenggarakan pelayanan dengan sebaik-baiknya sesuai standar pelayanan yang telah ditetapkan, serta melakukan upaya perba...])</f>
        <v>3.3764705882352941</v>
      </c>
      <c r="F12" s="15">
        <f>E12*25</f>
        <v>84.411764705882348</v>
      </c>
      <c r="G12" s="14" t="str">
        <f>IF(F12&lt;65,"Tidak Baik",IF(F12&lt;=76.6,"Kurang Baik",IF(F12&lt;=88.3,"Baik","Sangat Baik")))</f>
        <v>Baik</v>
      </c>
      <c r="H12" s="14">
        <f>_xlfn.RANK.EQ(F12,$F$6:$F$17,1)</f>
        <v>11</v>
      </c>
      <c r="I12" s="14" t="str">
        <f>IF(H12&lt;=3,"Prioritas",IF(F12&lt;76.61,"Perlu diperkuat","Pertahankan"))</f>
        <v>Pertahankan</v>
      </c>
      <c r="J12" s="14" t="str">
        <f>IF(F12&lt;65,"Kritis",IF(F12&lt;76.61,"Belum merata","Memadai"))</f>
        <v>Memadai</v>
      </c>
    </row>
    <row r="13" spans="1:10" x14ac:dyDescent="0.3">
      <c r="A13" s="14">
        <v>8</v>
      </c>
      <c r="B13" s="14" t="s">
        <v>803</v>
      </c>
      <c r="C13" s="14" t="s">
        <v>551</v>
      </c>
      <c r="D13" s="14">
        <f>COUNTA(Table1[Apakah Anda mengetahui adanya Standar Pelayanan / SOP Pelayanan di Kantor Desa Mertasari?])</f>
        <v>255</v>
      </c>
      <c r="E13" s="15">
        <f>(COUNTIF(Table1[Apakah Anda mengetahui adanya Standar Pelayanan / SOP Pelayanan di Kantor Desa Mertasari?],"Tidak Tahu")*1+COUNTIF(Table1[Apakah Anda mengetahui adanya Standar Pelayanan / SOP Pelayanan di Kantor Desa Mertasari?],"Kurang Tahu")*2+COUNTIF(Table1[Apakah Anda mengetahui adanya Standar Pelayanan / SOP Pelayanan di Kantor Desa Mertasari?],"Tahu")*3+COUNTIF(Table1[Apakah Anda mengetahui adanya Standar Pelayanan / SOP Pelayanan di Kantor Desa Mertasari?],"Sangat Tahu")*4)/COUNTA(Table1[Apakah Anda mengetahui adanya Standar Pelayanan / SOP Pelayanan di Kantor Desa Mertasari?])</f>
        <v>2.8862745098039215</v>
      </c>
      <c r="F13" s="15">
        <f>E13*25</f>
        <v>72.156862745098039</v>
      </c>
      <c r="G13" s="14" t="str">
        <f>IF(F13&lt;65,"Tidak Baik",IF(F13&lt;=76.6,"Kurang Baik",IF(F13&lt;=88.3,"Baik","Sangat Baik")))</f>
        <v>Kurang Baik</v>
      </c>
      <c r="H13" s="14">
        <f>_xlfn.RANK.EQ(F13,$F$6:$F$17,1)</f>
        <v>5</v>
      </c>
      <c r="I13" s="14" t="str">
        <f>IF(H13&lt;=3,"Prioritas",IF(F13&lt;76.61,"Perlu diperkuat","Pertahankan"))</f>
        <v>Perlu diperkuat</v>
      </c>
      <c r="J13" s="14" t="str">
        <f>IF(F13&lt;65,"Kritis",IF(F13&lt;76.61,"Belum merata","Memadai"))</f>
        <v>Belum merata</v>
      </c>
    </row>
    <row r="14" spans="1:10" x14ac:dyDescent="0.3">
      <c r="A14" s="14">
        <v>9</v>
      </c>
      <c r="B14" s="14" t="s">
        <v>552</v>
      </c>
      <c r="C14" s="14" t="s">
        <v>553</v>
      </c>
      <c r="D14" s="14">
        <f>COUNTA(Table1[Menurut Anda, apakah informasi mengenai Standar Pelayanan Minimal (kesehatan, pendidikan, sosial, lingkungan, kependudukan, keuangan dan pelayanan lainnya) telah tersedia dan dapat diakes?])</f>
        <v>255</v>
      </c>
      <c r="E14" s="15">
        <f>(COUNTIF(Table1[Menurut Anda, apakah informasi mengenai Standar Pelayanan Minimal (kesehatan, pendidikan, sosial, lingkungan, kependudukan, keuangan dan pelayanan lainnya) telah tersedia dan dapat diakes?],"Tidak Tahu")*1+COUNTIF(Table1[Menurut Anda, apakah informasi mengenai Standar Pelayanan Minimal (kesehatan, pendidikan, sosial, lingkungan, kependudukan, keuangan dan pelayanan lainnya) telah tersedia dan dapat diakes?],"Tidak Tersedia")*1+COUNTIF(Table1[Menurut Anda, apakah informasi mengenai Standar Pelayanan Minimal (kesehatan, pendidikan, sosial, lingkungan, kependudukan, keuangan dan pelayanan lainnya) telah tersedia dan dapat diakes?],"Tersedia tapi tidak dapat diakses")*2+COUNTIF(Table1[Menurut Anda, apakah informasi mengenai Standar Pelayanan Minimal (kesehatan, pendidikan, sosial, lingkungan, kependudukan, keuangan dan pelayanan lainnya) telah tersedia dan dapat diakes?],"Tersedia dan dapat diakses")*4)/COUNTA(Table1[Menurut Anda, apakah informasi mengenai Standar Pelayanan Minimal (kesehatan, pendidikan, sosial, lingkungan, kependudukan, keuangan dan pelayanan lainnya) telah tersedia dan dapat diakes?])</f>
        <v>3.3333333333333335</v>
      </c>
      <c r="F14" s="15">
        <f>E14*25</f>
        <v>83.333333333333343</v>
      </c>
      <c r="G14" s="14" t="str">
        <f>IF(F14&lt;65,"Tidak Baik",IF(F14&lt;=76.6,"Kurang Baik",IF(F14&lt;=88.3,"Baik","Sangat Baik")))</f>
        <v>Baik</v>
      </c>
      <c r="H14" s="14">
        <f>_xlfn.RANK.EQ(F14,$F$6:$F$17,1)</f>
        <v>10</v>
      </c>
      <c r="I14" s="14" t="str">
        <f>IF(H14&lt;=3,"Prioritas",IF(F14&lt;76.61,"Perlu diperkuat","Pertahankan"))</f>
        <v>Pertahankan</v>
      </c>
      <c r="J14" s="14" t="str">
        <f>IF(F14&lt;65,"Kritis",IF(F14&lt;76.61,"Belum merata","Memadai"))</f>
        <v>Memadai</v>
      </c>
    </row>
    <row r="15" spans="1:10" x14ac:dyDescent="0.3">
      <c r="A15" s="14">
        <v>10</v>
      </c>
      <c r="B15" s="14" t="s">
        <v>554</v>
      </c>
      <c r="C15" s="14" t="s">
        <v>555</v>
      </c>
      <c r="D15" s="14">
        <f>COUNTA(Table1[Apakah Anda mengetahui informasi tentang Anggaran Pendapatan dan Belanja Desa Mertasari?])</f>
        <v>255</v>
      </c>
      <c r="E15" s="15">
        <f>(COUNTIF(Table1[Apakah Anda mengetahui informasi tentang Anggaran Pendapatan dan Belanja Desa Mertasari?],"Tidak Tahu")*1+COUNTIF(Table1[Apakah Anda mengetahui informasi tentang Anggaran Pendapatan dan Belanja Desa Mertasari?],"Kurang Tahu")*2+COUNTIF(Table1[Apakah Anda mengetahui informasi tentang Anggaran Pendapatan dan Belanja Desa Mertasari?],"Tahu")*3+COUNTIF(Table1[Apakah Anda mengetahui informasi tentang Anggaran Pendapatan dan Belanja Desa Mertasari?],"Sangat Tahu")*4)/COUNTA(Table1[Apakah Anda mengetahui informasi tentang Anggaran Pendapatan dan Belanja Desa Mertasari?])</f>
        <v>2.7098039215686276</v>
      </c>
      <c r="F15" s="15">
        <f>E15*25</f>
        <v>67.745098039215691</v>
      </c>
      <c r="G15" s="14" t="str">
        <f>IF(F15&lt;65,"Tidak Baik",IF(F15&lt;=76.6,"Kurang Baik",IF(F15&lt;=88.3,"Baik","Sangat Baik")))</f>
        <v>Kurang Baik</v>
      </c>
      <c r="H15" s="14">
        <f>_xlfn.RANK.EQ(F15,$F$6:$F$17,1)</f>
        <v>2</v>
      </c>
      <c r="I15" s="14" t="str">
        <f>IF(H15&lt;=3,"Prioritas",IF(F15&lt;76.61,"Perlu diperkuat","Pertahankan"))</f>
        <v>Prioritas</v>
      </c>
      <c r="J15" s="14" t="str">
        <f>IF(F15&lt;65,"Kritis",IF(F15&lt;76.61,"Belum merata","Memadai"))</f>
        <v>Belum merata</v>
      </c>
    </row>
    <row r="16" spans="1:10" x14ac:dyDescent="0.3">
      <c r="A16" s="14">
        <v>11</v>
      </c>
      <c r="B16" s="14" t="s">
        <v>556</v>
      </c>
      <c r="C16" s="14" t="s">
        <v>557</v>
      </c>
      <c r="D16" s="14">
        <f>COUNTA(Table1[Apakah Anda terlibat dan berpartisipasi dalam penyusunan Rencana Kerja Pemerintah (RKP) Desa Mertasari?])</f>
        <v>255</v>
      </c>
      <c r="E16" s="15">
        <f>(COUNTIF(Table1[Apakah Anda terlibat dan berpartisipasi dalam penyusunan Rencana Kerja Pemerintah (RKP) Desa Mertasari?],"Tidak Ikut")*1+COUNTIF(Table1[Apakah Anda terlibat dan berpartisipasi dalam penyusunan Rencana Kerja Pemerintah (RKP) Desa Mertasari?],"Kadang-Kadang")*2+COUNTIF(Table1[Apakah Anda terlibat dan berpartisipasi dalam penyusunan Rencana Kerja Pemerintah (RKP) Desa Mertasari?],"Ikut berpartisipasi")*3+COUNTIF(Table1[Apakah Anda terlibat dan berpartisipasi dalam penyusunan Rencana Kerja Pemerintah (RKP) Desa Mertasari?],"Ikut terlibat dan berpartisipasi")*4)/COUNTA(Table1[Apakah Anda terlibat dan berpartisipasi dalam penyusunan Rencana Kerja Pemerintah (RKP) Desa Mertasari?])</f>
        <v>2.1019607843137256</v>
      </c>
      <c r="F16" s="15">
        <f>E16*25</f>
        <v>52.549019607843142</v>
      </c>
      <c r="G16" s="14" t="str">
        <f>IF(F16&lt;65,"Tidak Baik",IF(F16&lt;=76.6,"Kurang Baik",IF(F16&lt;=88.3,"Baik","Sangat Baik")))</f>
        <v>Tidak Baik</v>
      </c>
      <c r="H16" s="14">
        <f>_xlfn.RANK.EQ(F16,$F$6:$F$17,1)</f>
        <v>1</v>
      </c>
      <c r="I16" s="14" t="str">
        <f>IF(H16&lt;=3,"Prioritas",IF(F16&lt;76.61,"Perlu diperkuat","Pertahankan"))</f>
        <v>Prioritas</v>
      </c>
      <c r="J16" s="14" t="str">
        <f>IF(F16&lt;65,"Kritis",IF(F16&lt;76.61,"Belum merata","Memadai"))</f>
        <v>Kritis</v>
      </c>
    </row>
    <row r="17" spans="1:10" x14ac:dyDescent="0.3">
      <c r="A17" s="14">
        <v>12</v>
      </c>
      <c r="B17" s="14" t="s">
        <v>804</v>
      </c>
      <c r="C17" s="14" t="s">
        <v>559</v>
      </c>
      <c r="D17" s="14">
        <f>COUNTA(Table1[Apakah Anda mengetahui keterlibatan lembaga desa dan masyarakat dalam kegiatan pembangunan di Desa Mertasari?])</f>
        <v>255</v>
      </c>
      <c r="E17" s="15">
        <f>(COUNTIF(Table1[Apakah Anda mengetahui keterlibatan lembaga desa dan masyarakat dalam kegiatan pembangunan di Desa Mertasari?],"Tidak Tahu")*1+COUNTIF(Table1[Apakah Anda mengetahui keterlibatan lembaga desa dan masyarakat dalam kegiatan pembangunan di Desa Mertasari?],"Kurang Tahu")*2+COUNTIF(Table1[Apakah Anda mengetahui keterlibatan lembaga desa dan masyarakat dalam kegiatan pembangunan di Desa Mertasari?],"Tahu")*3+COUNTIF(Table1[Apakah Anda mengetahui keterlibatan lembaga desa dan masyarakat dalam kegiatan pembangunan di Desa Mertasari?],"Sangat Tahu")*4)/COUNTA(Table1[Apakah Anda mengetahui keterlibatan lembaga desa dan masyarakat dalam kegiatan pembangunan di Desa Mertasari?])</f>
        <v>2.7647058823529411</v>
      </c>
      <c r="F17" s="15">
        <f>E17*25</f>
        <v>69.117647058823522</v>
      </c>
      <c r="G17" s="14" t="str">
        <f>IF(F17&lt;65,"Tidak Baik",IF(F17&lt;=76.6,"Kurang Baik",IF(F17&lt;=88.3,"Baik","Sangat Baik")))</f>
        <v>Kurang Baik</v>
      </c>
      <c r="H17" s="14">
        <f>_xlfn.RANK.EQ(F17,$F$6:$F$17,1)</f>
        <v>3</v>
      </c>
      <c r="I17" s="14" t="str">
        <f>IF(H17&lt;=3,"Prioritas",IF(F17&lt;76.61,"Perlu diperkuat","Pertahankan"))</f>
        <v>Prioritas</v>
      </c>
      <c r="J17" s="14" t="str">
        <f>IF(F17&lt;65,"Kritis",IF(F17&lt;76.61,"Belum merata","Memadai"))</f>
        <v>Belum merata</v>
      </c>
    </row>
    <row r="20" spans="1:10" x14ac:dyDescent="0.3">
      <c r="B20" s="16" t="s">
        <v>560</v>
      </c>
      <c r="C20" s="16"/>
      <c r="D20" s="16"/>
      <c r="E20" s="16"/>
      <c r="F20" s="18">
        <f>AVERAGE(E6:E17)*25</f>
        <v>73.74183006535948</v>
      </c>
      <c r="G20" s="16" t="s">
        <v>805</v>
      </c>
      <c r="H20" s="16"/>
      <c r="I20" s="16"/>
      <c r="J20" s="16"/>
    </row>
    <row r="22" spans="1:10" x14ac:dyDescent="0.3">
      <c r="A22" s="8" t="s">
        <v>561</v>
      </c>
      <c r="B22" s="8"/>
      <c r="C22" s="8"/>
      <c r="D22" s="8"/>
      <c r="E22" s="8"/>
      <c r="F22" s="8"/>
      <c r="G22" s="8"/>
      <c r="H22" s="8"/>
      <c r="I22" s="8"/>
      <c r="J22" s="8"/>
    </row>
    <row r="23" spans="1:10" x14ac:dyDescent="0.3">
      <c r="A23" s="29" t="s">
        <v>806</v>
      </c>
      <c r="B23" s="29" t="s">
        <v>562</v>
      </c>
      <c r="D23" s="29" t="s">
        <v>811</v>
      </c>
      <c r="E23" s="29" t="s">
        <v>562</v>
      </c>
    </row>
    <row r="24" spans="1:10" x14ac:dyDescent="0.3">
      <c r="A24" s="14" t="s">
        <v>807</v>
      </c>
      <c r="B24" s="14">
        <f>COUNTIF(Table1[Darimanakah anda memperoleh informasi mengenai Standar Pelayanan Minimal (kesehatan, pendidikan, sosial, lingkungan, kependudukan, keuangan dan pelayanan lainnya)?],"Papan Pengumuman (Kantor Desa, Poskampling, Rumah Ketua RT dan tempat strategis lainnya)")</f>
        <v>107</v>
      </c>
      <c r="D24" s="14" t="s">
        <v>68</v>
      </c>
      <c r="E24" s="14">
        <f>COUNTIF(Table1[Media Pengaduan Masyarakat apa yang sering Anda gunakan untuk menyampaikan pengaduan kepada Pemerintah Desa Mertasari?],"WA/SMS")</f>
        <v>110</v>
      </c>
    </row>
    <row r="25" spans="1:10" x14ac:dyDescent="0.3">
      <c r="A25" s="14" t="s">
        <v>808</v>
      </c>
      <c r="B25" s="14">
        <f>COUNTIF(Table1[Darimanakah anda memperoleh informasi mengenai Standar Pelayanan Minimal (kesehatan, pendidikan, sosial, lingkungan, kependudukan, keuangan dan pelayanan lainnya)?],"Papan Pengumuman dan Media Sosial")</f>
        <v>77</v>
      </c>
      <c r="D25" s="14" t="s">
        <v>812</v>
      </c>
      <c r="E25" s="14">
        <f>COUNTIF(Table1[Media Pengaduan Masyarakat apa yang sering Anda gunakan untuk menyampaikan pengaduan kepada Pemerintah Desa Mertasari?],"Kotak Pengaduan")</f>
        <v>99</v>
      </c>
    </row>
    <row r="26" spans="1:10" x14ac:dyDescent="0.3">
      <c r="A26" s="14" t="s">
        <v>809</v>
      </c>
      <c r="B26" s="14">
        <f>COUNTIF(Table1[Darimanakah anda memperoleh informasi mengenai Standar Pelayanan Minimal (kesehatan, pendidikan, sosial, lingkungan, kependudukan, keuangan dan pelayanan lainnya)?],"Website Desa / Media Sosial")</f>
        <v>55</v>
      </c>
      <c r="D26" s="14" t="s">
        <v>809</v>
      </c>
      <c r="E26" s="14">
        <f>COUNTIF(Table1[Media Pengaduan Masyarakat apa yang sering Anda gunakan untuk menyampaikan pengaduan kepada Pemerintah Desa Mertasari?],"Website/Media Sosial")</f>
        <v>31</v>
      </c>
    </row>
    <row r="27" spans="1:10" x14ac:dyDescent="0.3">
      <c r="A27" s="14" t="s">
        <v>810</v>
      </c>
      <c r="B27" s="14">
        <f>COUNTIF(Table1[Darimanakah anda memperoleh informasi mengenai Standar Pelayanan Minimal (kesehatan, pendidikan, sosial, lingkungan, kependudukan, keuangan dan pelayanan lainnya)?],"Tidak Tahu")</f>
        <v>16</v>
      </c>
      <c r="D27" s="14" t="s">
        <v>810</v>
      </c>
      <c r="E27" s="14">
        <f>COUNTIF(Table1[Media Pengaduan Masyarakat apa yang sering Anda gunakan untuk menyampaikan pengaduan kepada Pemerintah Desa Mertasari?],"Tidak Tahu")</f>
        <v>15</v>
      </c>
    </row>
    <row r="49" spans="1:10" x14ac:dyDescent="0.3">
      <c r="A49" s="8" t="s">
        <v>813</v>
      </c>
      <c r="B49" s="8"/>
      <c r="C49" s="8"/>
      <c r="D49" s="8"/>
      <c r="E49" s="8"/>
      <c r="F49" s="8"/>
      <c r="G49" s="8"/>
      <c r="H49" s="8"/>
      <c r="I49" s="8"/>
      <c r="J49" s="8"/>
    </row>
    <row r="50" spans="1:10" ht="72" x14ac:dyDescent="0.3">
      <c r="A50" s="26" t="s">
        <v>814</v>
      </c>
      <c r="B50" s="21" t="s">
        <v>815</v>
      </c>
    </row>
    <row r="51" spans="1:10" ht="86.4" x14ac:dyDescent="0.3">
      <c r="A51" s="26" t="s">
        <v>556</v>
      </c>
      <c r="B51" s="21" t="s">
        <v>816</v>
      </c>
    </row>
    <row r="52" spans="1:10" ht="72" x14ac:dyDescent="0.3">
      <c r="A52" s="26" t="s">
        <v>554</v>
      </c>
      <c r="B52" s="21" t="s">
        <v>817</v>
      </c>
    </row>
    <row r="53" spans="1:10" ht="72" x14ac:dyDescent="0.3">
      <c r="A53" s="26" t="s">
        <v>558</v>
      </c>
      <c r="B53" s="21" t="s">
        <v>818</v>
      </c>
    </row>
    <row r="54" spans="1:10" ht="57.6" x14ac:dyDescent="0.3">
      <c r="A54" s="26" t="s">
        <v>819</v>
      </c>
      <c r="B54" s="21" t="s">
        <v>820</v>
      </c>
    </row>
    <row r="55" spans="1:10" ht="72" x14ac:dyDescent="0.3">
      <c r="A55" s="26" t="s">
        <v>661</v>
      </c>
      <c r="B55" s="21" t="s">
        <v>821</v>
      </c>
    </row>
    <row r="56" spans="1:10" ht="57.6" x14ac:dyDescent="0.3">
      <c r="A56" s="26" t="s">
        <v>662</v>
      </c>
      <c r="B56" s="21" t="s">
        <v>822</v>
      </c>
    </row>
    <row r="57" spans="1:10" ht="57.6" x14ac:dyDescent="0.3">
      <c r="A57" s="26" t="s">
        <v>823</v>
      </c>
      <c r="B57" s="21" t="s">
        <v>824</v>
      </c>
    </row>
    <row r="59" spans="1:10" x14ac:dyDescent="0.3">
      <c r="A59" s="8" t="s">
        <v>825</v>
      </c>
      <c r="B59" s="8"/>
      <c r="C59" s="8"/>
      <c r="D59" s="8"/>
      <c r="E59" s="8"/>
      <c r="F59" s="8"/>
      <c r="G59" s="8"/>
      <c r="H59" s="8"/>
      <c r="I59" s="8"/>
      <c r="J59" s="8"/>
    </row>
    <row r="60" spans="1:10" x14ac:dyDescent="0.3">
      <c r="A60" s="27" t="s">
        <v>826</v>
      </c>
      <c r="B60" s="27"/>
      <c r="C60" s="27"/>
      <c r="D60" s="27"/>
      <c r="E60" s="27"/>
      <c r="F60" s="27"/>
      <c r="G60" s="27"/>
      <c r="H60" s="27"/>
      <c r="I60" s="27"/>
      <c r="J60" s="27"/>
    </row>
    <row r="61" spans="1:10" x14ac:dyDescent="0.3">
      <c r="A61" s="27"/>
      <c r="B61" s="27"/>
      <c r="C61" s="27"/>
      <c r="D61" s="27"/>
      <c r="E61" s="27"/>
      <c r="F61" s="27"/>
      <c r="G61" s="27"/>
      <c r="H61" s="27"/>
      <c r="I61" s="27"/>
      <c r="J61" s="27"/>
    </row>
    <row r="62" spans="1:10" x14ac:dyDescent="0.3">
      <c r="A62" s="27"/>
      <c r="B62" s="27"/>
      <c r="C62" s="27"/>
      <c r="D62" s="27"/>
      <c r="E62" s="27"/>
      <c r="F62" s="27"/>
      <c r="G62" s="27"/>
      <c r="H62" s="27"/>
      <c r="I62" s="27"/>
      <c r="J62" s="27"/>
    </row>
    <row r="63" spans="1:10" x14ac:dyDescent="0.3">
      <c r="A63" s="27"/>
      <c r="B63" s="27"/>
      <c r="C63" s="27"/>
      <c r="D63" s="27"/>
      <c r="E63" s="27"/>
      <c r="F63" s="27"/>
      <c r="G63" s="27"/>
      <c r="H63" s="27"/>
      <c r="I63" s="27"/>
      <c r="J63" s="27"/>
    </row>
    <row r="64" spans="1:10" x14ac:dyDescent="0.3">
      <c r="A64" s="27"/>
      <c r="B64" s="27"/>
      <c r="C64" s="27"/>
      <c r="D64" s="27"/>
      <c r="E64" s="27"/>
      <c r="F64" s="27"/>
      <c r="G64" s="27"/>
      <c r="H64" s="27"/>
      <c r="I64" s="27"/>
      <c r="J64" s="27"/>
    </row>
    <row r="65" spans="1:10" x14ac:dyDescent="0.3">
      <c r="A65" s="27"/>
      <c r="B65" s="27"/>
      <c r="C65" s="27"/>
      <c r="D65" s="27"/>
      <c r="E65" s="27"/>
      <c r="F65" s="27"/>
      <c r="G65" s="27"/>
      <c r="H65" s="27"/>
      <c r="I65" s="27"/>
      <c r="J65" s="27"/>
    </row>
    <row r="67" spans="1:10" x14ac:dyDescent="0.3">
      <c r="A67" s="8" t="s">
        <v>827</v>
      </c>
      <c r="B67" s="8"/>
      <c r="C67" s="8"/>
      <c r="D67" s="8"/>
      <c r="E67" s="8"/>
      <c r="F67" s="8"/>
      <c r="G67" s="8"/>
      <c r="H67" s="8"/>
      <c r="I67" s="8"/>
      <c r="J67" s="8"/>
    </row>
    <row r="68" spans="1:10" x14ac:dyDescent="0.3">
      <c r="A68" s="27" t="s">
        <v>828</v>
      </c>
      <c r="B68" s="27"/>
      <c r="C68" s="27"/>
      <c r="D68" s="27"/>
      <c r="E68" s="27"/>
      <c r="F68" s="27"/>
      <c r="G68" s="27"/>
      <c r="H68" s="27"/>
      <c r="I68" s="27"/>
      <c r="J68" s="27"/>
    </row>
    <row r="69" spans="1:10" x14ac:dyDescent="0.3">
      <c r="A69" s="27"/>
      <c r="B69" s="27"/>
      <c r="C69" s="27"/>
      <c r="D69" s="27"/>
      <c r="E69" s="27"/>
      <c r="F69" s="27"/>
      <c r="G69" s="27"/>
      <c r="H69" s="27"/>
      <c r="I69" s="27"/>
      <c r="J69" s="27"/>
    </row>
    <row r="70" spans="1:10" x14ac:dyDescent="0.3">
      <c r="A70" s="27"/>
      <c r="B70" s="27"/>
      <c r="C70" s="27"/>
      <c r="D70" s="27"/>
      <c r="E70" s="27"/>
      <c r="F70" s="27"/>
      <c r="G70" s="27"/>
      <c r="H70" s="27"/>
      <c r="I70" s="27"/>
      <c r="J70" s="27"/>
    </row>
    <row r="71" spans="1:10" x14ac:dyDescent="0.3">
      <c r="A71" s="27"/>
      <c r="B71" s="27"/>
      <c r="C71" s="27"/>
      <c r="D71" s="27"/>
      <c r="E71" s="27"/>
      <c r="F71" s="27"/>
      <c r="G71" s="27"/>
      <c r="H71" s="27"/>
      <c r="I71" s="27"/>
      <c r="J71" s="27"/>
    </row>
    <row r="73" spans="1:10" x14ac:dyDescent="0.3">
      <c r="A73" s="29" t="s">
        <v>535</v>
      </c>
      <c r="B73" s="29" t="s">
        <v>794</v>
      </c>
      <c r="C73" s="29" t="s">
        <v>737</v>
      </c>
      <c r="D73" s="29" t="s">
        <v>829</v>
      </c>
    </row>
    <row r="74" spans="1:10" x14ac:dyDescent="0.3">
      <c r="A74" s="14" t="s">
        <v>795</v>
      </c>
      <c r="B74" s="14">
        <v>148</v>
      </c>
      <c r="C74" s="33">
        <v>0.58040000000000003</v>
      </c>
      <c r="D74" s="14" t="s">
        <v>830</v>
      </c>
    </row>
    <row r="75" spans="1:10" x14ac:dyDescent="0.3">
      <c r="A75" s="14" t="s">
        <v>554</v>
      </c>
      <c r="B75" s="14">
        <v>71</v>
      </c>
      <c r="C75" s="33">
        <v>0.27839999999999998</v>
      </c>
      <c r="D75" s="14" t="s">
        <v>831</v>
      </c>
    </row>
    <row r="76" spans="1:10" x14ac:dyDescent="0.3">
      <c r="A76" s="14" t="s">
        <v>552</v>
      </c>
      <c r="B76" s="14">
        <v>66</v>
      </c>
      <c r="C76" s="33">
        <v>0.25879999999999997</v>
      </c>
      <c r="D76" s="14" t="s">
        <v>832</v>
      </c>
    </row>
    <row r="77" spans="1:10" x14ac:dyDescent="0.3">
      <c r="A77" s="14" t="s">
        <v>558</v>
      </c>
      <c r="B77" s="14">
        <v>59</v>
      </c>
      <c r="C77" s="33">
        <v>0.23139999999999999</v>
      </c>
      <c r="D77" s="14" t="s">
        <v>833</v>
      </c>
    </row>
    <row r="78" spans="1:10" x14ac:dyDescent="0.3">
      <c r="A78" s="14" t="s">
        <v>542</v>
      </c>
      <c r="B78" s="14">
        <v>57</v>
      </c>
      <c r="C78" s="33">
        <v>0.2235</v>
      </c>
      <c r="D78" s="14" t="s">
        <v>834</v>
      </c>
    </row>
    <row r="79" spans="1:10" x14ac:dyDescent="0.3">
      <c r="A79" s="14" t="s">
        <v>539</v>
      </c>
      <c r="B79" s="14">
        <v>55</v>
      </c>
      <c r="C79" s="33">
        <v>0.2157</v>
      </c>
      <c r="D79" s="14" t="s">
        <v>835</v>
      </c>
    </row>
    <row r="80" spans="1:10" x14ac:dyDescent="0.3">
      <c r="A80" s="14" t="s">
        <v>546</v>
      </c>
      <c r="B80" s="14">
        <v>51</v>
      </c>
      <c r="C80" s="33">
        <v>0.2</v>
      </c>
      <c r="D80" s="14" t="s">
        <v>836</v>
      </c>
    </row>
    <row r="81" spans="1:10" x14ac:dyDescent="0.3">
      <c r="A81" s="14" t="s">
        <v>550</v>
      </c>
      <c r="B81" s="14">
        <v>50</v>
      </c>
      <c r="C81" s="33">
        <v>0.1961</v>
      </c>
      <c r="D81" s="14" t="s">
        <v>837</v>
      </c>
    </row>
    <row r="82" spans="1:10" x14ac:dyDescent="0.3">
      <c r="A82" s="14" t="s">
        <v>838</v>
      </c>
      <c r="B82" s="14">
        <v>47</v>
      </c>
      <c r="C82" s="33">
        <v>0.18429999999999999</v>
      </c>
      <c r="D82" s="14" t="s">
        <v>839</v>
      </c>
    </row>
    <row r="83" spans="1:10" x14ac:dyDescent="0.3">
      <c r="A83" s="14" t="s">
        <v>544</v>
      </c>
      <c r="B83" s="14">
        <v>47</v>
      </c>
      <c r="C83" s="33">
        <v>0.18429999999999999</v>
      </c>
      <c r="D83" s="14" t="s">
        <v>840</v>
      </c>
    </row>
    <row r="84" spans="1:10" x14ac:dyDescent="0.3">
      <c r="A84" s="14" t="s">
        <v>537</v>
      </c>
      <c r="B84" s="14">
        <v>12</v>
      </c>
      <c r="C84" s="33">
        <v>4.7100000000000003E-2</v>
      </c>
      <c r="D84" s="14" t="s">
        <v>841</v>
      </c>
    </row>
    <row r="85" spans="1:10" x14ac:dyDescent="0.3">
      <c r="A85" s="14" t="s">
        <v>548</v>
      </c>
      <c r="B85" s="14">
        <v>11</v>
      </c>
      <c r="C85" s="33">
        <v>4.3099999999999999E-2</v>
      </c>
      <c r="D85" s="14" t="s">
        <v>842</v>
      </c>
    </row>
    <row r="87" spans="1:10" x14ac:dyDescent="0.3">
      <c r="A87" s="8" t="s">
        <v>843</v>
      </c>
      <c r="B87" s="8"/>
      <c r="C87" s="8"/>
      <c r="D87" s="8"/>
      <c r="E87" s="8"/>
      <c r="F87" s="8"/>
      <c r="G87" s="8"/>
      <c r="H87" s="8"/>
      <c r="I87" s="8"/>
      <c r="J87" s="8"/>
    </row>
    <row r="88" spans="1:10" ht="72" x14ac:dyDescent="0.3">
      <c r="A88" s="26" t="s">
        <v>844</v>
      </c>
      <c r="B88" s="21" t="s">
        <v>845</v>
      </c>
    </row>
    <row r="89" spans="1:10" ht="72" x14ac:dyDescent="0.3">
      <c r="A89" s="26" t="s">
        <v>846</v>
      </c>
      <c r="B89" s="21" t="s">
        <v>847</v>
      </c>
    </row>
    <row r="90" spans="1:10" ht="57.6" x14ac:dyDescent="0.3">
      <c r="A90" s="26" t="s">
        <v>848</v>
      </c>
      <c r="B90" s="21" t="s">
        <v>849</v>
      </c>
    </row>
    <row r="91" spans="1:10" ht="57.6" x14ac:dyDescent="0.3">
      <c r="A91" s="26" t="s">
        <v>850</v>
      </c>
      <c r="B91" s="21" t="s">
        <v>851</v>
      </c>
    </row>
    <row r="92" spans="1:10" ht="57.6" x14ac:dyDescent="0.3">
      <c r="A92" s="26" t="s">
        <v>852</v>
      </c>
      <c r="B92" s="21" t="s">
        <v>853</v>
      </c>
    </row>
    <row r="93" spans="1:10" ht="57.6" x14ac:dyDescent="0.3">
      <c r="A93" s="26" t="s">
        <v>854</v>
      </c>
      <c r="B93" s="21" t="s">
        <v>855</v>
      </c>
    </row>
    <row r="94" spans="1:10" ht="57.6" x14ac:dyDescent="0.3">
      <c r="A94" s="26" t="s">
        <v>856</v>
      </c>
      <c r="B94" s="21" t="s">
        <v>857</v>
      </c>
    </row>
    <row r="95" spans="1:10" ht="57.6" x14ac:dyDescent="0.3">
      <c r="A95" s="26" t="s">
        <v>858</v>
      </c>
      <c r="B95" s="21" t="s">
        <v>859</v>
      </c>
    </row>
    <row r="96" spans="1:10" ht="57.6" x14ac:dyDescent="0.3">
      <c r="A96" s="26" t="s">
        <v>860</v>
      </c>
      <c r="B96" s="21" t="s">
        <v>861</v>
      </c>
    </row>
    <row r="98" spans="1:10" x14ac:dyDescent="0.3">
      <c r="A98" s="8" t="s">
        <v>862</v>
      </c>
      <c r="B98" s="8"/>
      <c r="C98" s="8"/>
      <c r="D98" s="8"/>
      <c r="E98" s="8"/>
      <c r="F98" s="8"/>
      <c r="G98" s="8"/>
      <c r="H98" s="8"/>
      <c r="I98" s="8"/>
      <c r="J98" s="8"/>
    </row>
    <row r="99" spans="1:10" x14ac:dyDescent="0.3">
      <c r="A99" s="27" t="s">
        <v>863</v>
      </c>
      <c r="B99" s="27"/>
      <c r="C99" s="27"/>
      <c r="D99" s="27"/>
      <c r="E99" s="27"/>
      <c r="F99" s="27"/>
      <c r="G99" s="27"/>
      <c r="H99" s="27"/>
      <c r="I99" s="27"/>
      <c r="J99" s="27"/>
    </row>
    <row r="100" spans="1:10" x14ac:dyDescent="0.3">
      <c r="A100" s="27"/>
      <c r="B100" s="27"/>
      <c r="C100" s="27"/>
      <c r="D100" s="27"/>
      <c r="E100" s="27"/>
      <c r="F100" s="27"/>
      <c r="G100" s="27"/>
      <c r="H100" s="27"/>
      <c r="I100" s="27"/>
      <c r="J100" s="27"/>
    </row>
    <row r="101" spans="1:10" x14ac:dyDescent="0.3">
      <c r="A101" s="27"/>
      <c r="B101" s="27"/>
      <c r="C101" s="27"/>
      <c r="D101" s="27"/>
      <c r="E101" s="27"/>
      <c r="F101" s="27"/>
      <c r="G101" s="27"/>
      <c r="H101" s="27"/>
      <c r="I101" s="27"/>
      <c r="J101" s="27"/>
    </row>
    <row r="102" spans="1:10" x14ac:dyDescent="0.3">
      <c r="A102" s="27"/>
      <c r="B102" s="27"/>
      <c r="C102" s="27"/>
      <c r="D102" s="27"/>
      <c r="E102" s="27"/>
      <c r="F102" s="27"/>
      <c r="G102" s="27"/>
      <c r="H102" s="27"/>
      <c r="I102" s="27"/>
      <c r="J102" s="27"/>
    </row>
    <row r="103" spans="1:10" x14ac:dyDescent="0.3">
      <c r="A103" s="27"/>
      <c r="B103" s="27"/>
      <c r="C103" s="27"/>
      <c r="D103" s="27"/>
      <c r="E103" s="27"/>
      <c r="F103" s="27"/>
      <c r="G103" s="27"/>
      <c r="H103" s="27"/>
      <c r="I103" s="27"/>
      <c r="J103" s="27"/>
    </row>
    <row r="104" spans="1:10" x14ac:dyDescent="0.3">
      <c r="A104" s="27"/>
      <c r="B104" s="27"/>
      <c r="C104" s="27"/>
      <c r="D104" s="27"/>
      <c r="E104" s="27"/>
      <c r="F104" s="27"/>
      <c r="G104" s="27"/>
      <c r="H104" s="27"/>
      <c r="I104" s="27"/>
      <c r="J104" s="27"/>
    </row>
  </sheetData>
  <mergeCells count="14">
    <mergeCell ref="A98:J98"/>
    <mergeCell ref="A99:J104"/>
    <mergeCell ref="A49:J49"/>
    <mergeCell ref="A59:J59"/>
    <mergeCell ref="A60:J65"/>
    <mergeCell ref="A67:J67"/>
    <mergeCell ref="A68:J71"/>
    <mergeCell ref="A87:J87"/>
    <mergeCell ref="A1:J1"/>
    <mergeCell ref="A2:J2"/>
    <mergeCell ref="A4:J4"/>
    <mergeCell ref="B20:E20"/>
    <mergeCell ref="G20:J20"/>
    <mergeCell ref="A22:J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E57BA-A76A-44FA-AD62-BECB52EB55D7}">
  <dimension ref="A1:J41"/>
  <sheetViews>
    <sheetView tabSelected="1" topLeftCell="A6" workbookViewId="0">
      <selection activeCell="F32" sqref="F32"/>
    </sheetView>
  </sheetViews>
  <sheetFormatPr defaultRowHeight="14.4" x14ac:dyDescent="0.3"/>
  <cols>
    <col min="1" max="1" width="7" customWidth="1"/>
    <col min="2" max="2" width="19.44140625" customWidth="1"/>
    <col min="3" max="3" width="13" customWidth="1"/>
    <col min="4" max="4" width="20.33203125" customWidth="1"/>
    <col min="5" max="5" width="35.21875" customWidth="1"/>
    <col min="6" max="6" width="16.6640625" customWidth="1"/>
    <col min="7" max="7" width="20.33203125" customWidth="1"/>
    <col min="8" max="8" width="25" customWidth="1"/>
    <col min="9" max="9" width="26.88671875" customWidth="1"/>
    <col min="10" max="10" width="20.33203125" customWidth="1"/>
  </cols>
  <sheetData>
    <row r="1" spans="1:10" ht="23.4" x14ac:dyDescent="0.45">
      <c r="A1" s="11" t="s">
        <v>590</v>
      </c>
      <c r="B1" s="11"/>
      <c r="C1" s="11"/>
      <c r="D1" s="11"/>
      <c r="E1" s="11"/>
      <c r="F1" s="11"/>
      <c r="G1" s="11"/>
      <c r="H1" s="11"/>
      <c r="I1" s="11"/>
      <c r="J1" s="11"/>
    </row>
    <row r="2" spans="1:10" x14ac:dyDescent="0.3">
      <c r="A2" s="12" t="s">
        <v>591</v>
      </c>
      <c r="B2" s="12"/>
      <c r="C2" s="12"/>
      <c r="D2" s="12"/>
      <c r="E2" s="12"/>
      <c r="F2" s="12"/>
      <c r="G2" s="12"/>
      <c r="H2" s="12"/>
      <c r="I2" s="12"/>
      <c r="J2" s="12"/>
    </row>
    <row r="4" spans="1:10" x14ac:dyDescent="0.3">
      <c r="A4" s="8" t="s">
        <v>592</v>
      </c>
      <c r="B4" s="8"/>
      <c r="C4" s="8"/>
      <c r="D4" s="8"/>
      <c r="E4" s="8"/>
      <c r="F4" s="8"/>
      <c r="G4" s="8"/>
      <c r="H4" s="8"/>
      <c r="I4" s="8"/>
      <c r="J4" s="8"/>
    </row>
    <row r="5" spans="1:10" x14ac:dyDescent="0.3">
      <c r="A5" s="29" t="s">
        <v>479</v>
      </c>
      <c r="B5" s="29" t="s">
        <v>663</v>
      </c>
      <c r="C5" s="29" t="s">
        <v>593</v>
      </c>
      <c r="D5" s="29" t="s">
        <v>664</v>
      </c>
      <c r="E5" s="29" t="s">
        <v>665</v>
      </c>
      <c r="F5" s="29" t="s">
        <v>594</v>
      </c>
      <c r="G5" s="29" t="s">
        <v>666</v>
      </c>
      <c r="H5" s="29" t="s">
        <v>667</v>
      </c>
      <c r="I5" s="29" t="s">
        <v>668</v>
      </c>
      <c r="J5" s="29" t="s">
        <v>669</v>
      </c>
    </row>
    <row r="6" spans="1:10" ht="100.8" x14ac:dyDescent="0.3">
      <c r="A6" s="30">
        <v>1</v>
      </c>
      <c r="B6" s="30" t="s">
        <v>670</v>
      </c>
      <c r="C6" s="31">
        <f>'SKM Layanan'!F14</f>
        <v>79.411764705882348</v>
      </c>
      <c r="D6" s="32" t="s">
        <v>671</v>
      </c>
      <c r="E6" s="32" t="s">
        <v>672</v>
      </c>
      <c r="F6" s="32" t="s">
        <v>595</v>
      </c>
      <c r="G6" s="32" t="s">
        <v>673</v>
      </c>
      <c r="H6" s="32" t="s">
        <v>674</v>
      </c>
      <c r="I6" s="32" t="s">
        <v>675</v>
      </c>
      <c r="J6" s="32" t="s">
        <v>676</v>
      </c>
    </row>
    <row r="7" spans="1:10" ht="86.4" x14ac:dyDescent="0.3">
      <c r="A7" s="30">
        <v>2</v>
      </c>
      <c r="B7" s="30" t="s">
        <v>677</v>
      </c>
      <c r="C7" s="31">
        <f>'SKM Layanan'!F8</f>
        <v>80.294117647058826</v>
      </c>
      <c r="D7" s="32" t="s">
        <v>678</v>
      </c>
      <c r="E7" s="32" t="s">
        <v>679</v>
      </c>
      <c r="F7" s="32" t="s">
        <v>597</v>
      </c>
      <c r="G7" s="32" t="s">
        <v>680</v>
      </c>
      <c r="H7" s="32" t="s">
        <v>681</v>
      </c>
      <c r="I7" s="32" t="s">
        <v>682</v>
      </c>
      <c r="J7" s="32" t="s">
        <v>683</v>
      </c>
    </row>
    <row r="8" spans="1:10" ht="72" x14ac:dyDescent="0.3">
      <c r="A8" s="30">
        <v>3</v>
      </c>
      <c r="B8" s="30" t="s">
        <v>684</v>
      </c>
      <c r="C8" s="31">
        <f>'SKM Layanan'!F10</f>
        <v>80.490196078431381</v>
      </c>
      <c r="D8" s="32" t="s">
        <v>685</v>
      </c>
      <c r="E8" s="32" t="s">
        <v>686</v>
      </c>
      <c r="F8" s="32" t="s">
        <v>597</v>
      </c>
      <c r="G8" s="32" t="s">
        <v>687</v>
      </c>
      <c r="H8" s="32" t="s">
        <v>688</v>
      </c>
      <c r="I8" s="32" t="s">
        <v>689</v>
      </c>
      <c r="J8" s="32" t="s">
        <v>690</v>
      </c>
    </row>
    <row r="9" spans="1:10" ht="100.8" x14ac:dyDescent="0.3">
      <c r="A9" s="30">
        <v>4</v>
      </c>
      <c r="B9" s="30" t="s">
        <v>556</v>
      </c>
      <c r="C9" s="31">
        <f>Pemahaman!F16</f>
        <v>52.549019607843142</v>
      </c>
      <c r="D9" s="32" t="s">
        <v>691</v>
      </c>
      <c r="E9" s="32" t="s">
        <v>692</v>
      </c>
      <c r="F9" s="32" t="s">
        <v>599</v>
      </c>
      <c r="G9" s="32" t="s">
        <v>693</v>
      </c>
      <c r="H9" s="32" t="s">
        <v>694</v>
      </c>
      <c r="I9" s="32" t="s">
        <v>695</v>
      </c>
      <c r="J9" s="32" t="s">
        <v>696</v>
      </c>
    </row>
    <row r="10" spans="1:10" ht="86.4" x14ac:dyDescent="0.3">
      <c r="A10" s="30">
        <v>5</v>
      </c>
      <c r="B10" s="30" t="s">
        <v>554</v>
      </c>
      <c r="C10" s="31">
        <f>Pemahaman!F15</f>
        <v>67.745098039215691</v>
      </c>
      <c r="D10" s="32" t="s">
        <v>697</v>
      </c>
      <c r="E10" s="32" t="s">
        <v>698</v>
      </c>
      <c r="F10" s="32" t="s">
        <v>601</v>
      </c>
      <c r="G10" s="32" t="s">
        <v>699</v>
      </c>
      <c r="H10" s="32" t="s">
        <v>700</v>
      </c>
      <c r="I10" s="32" t="s">
        <v>701</v>
      </c>
      <c r="J10" s="32" t="s">
        <v>702</v>
      </c>
    </row>
    <row r="11" spans="1:10" ht="86.4" x14ac:dyDescent="0.3">
      <c r="A11" s="30">
        <v>6</v>
      </c>
      <c r="B11" s="30" t="s">
        <v>703</v>
      </c>
      <c r="C11" s="31">
        <f>Pemahaman!F17</f>
        <v>69.117647058823522</v>
      </c>
      <c r="D11" s="32" t="s">
        <v>704</v>
      </c>
      <c r="E11" s="32" t="s">
        <v>705</v>
      </c>
      <c r="F11" s="32" t="s">
        <v>706</v>
      </c>
      <c r="G11" s="32" t="s">
        <v>707</v>
      </c>
      <c r="H11" s="32" t="s">
        <v>708</v>
      </c>
      <c r="I11" s="32" t="s">
        <v>709</v>
      </c>
      <c r="J11" s="32" t="s">
        <v>710</v>
      </c>
    </row>
    <row r="12" spans="1:10" ht="72" x14ac:dyDescent="0.3">
      <c r="A12" s="30">
        <v>7</v>
      </c>
      <c r="B12" s="30" t="s">
        <v>868</v>
      </c>
      <c r="C12" s="31">
        <f>Antikorupsi!F6</f>
        <v>77.352941176470594</v>
      </c>
      <c r="D12" s="32" t="s">
        <v>711</v>
      </c>
      <c r="E12" s="32" t="s">
        <v>712</v>
      </c>
      <c r="F12" s="32" t="s">
        <v>713</v>
      </c>
      <c r="G12" s="32" t="s">
        <v>714</v>
      </c>
      <c r="H12" s="32" t="s">
        <v>715</v>
      </c>
      <c r="I12" s="32" t="s">
        <v>716</v>
      </c>
      <c r="J12" s="32" t="s">
        <v>717</v>
      </c>
    </row>
    <row r="13" spans="1:10" ht="72" x14ac:dyDescent="0.3">
      <c r="A13" s="30">
        <v>8</v>
      </c>
      <c r="B13" s="30" t="s">
        <v>602</v>
      </c>
      <c r="C13" s="31">
        <f>'SKM Layanan'!F17</f>
        <v>83.017429193899773</v>
      </c>
      <c r="D13" s="32" t="s">
        <v>718</v>
      </c>
      <c r="E13" s="32" t="s">
        <v>719</v>
      </c>
      <c r="F13" s="32" t="s">
        <v>720</v>
      </c>
      <c r="G13" s="32" t="s">
        <v>721</v>
      </c>
      <c r="H13" s="32" t="s">
        <v>722</v>
      </c>
      <c r="I13" s="32" t="s">
        <v>723</v>
      </c>
      <c r="J13" s="32" t="s">
        <v>724</v>
      </c>
    </row>
    <row r="15" spans="1:10" x14ac:dyDescent="0.3">
      <c r="A15" s="8" t="s">
        <v>733</v>
      </c>
      <c r="B15" s="8"/>
      <c r="C15" s="8"/>
      <c r="D15" s="8"/>
      <c r="E15" s="8"/>
      <c r="F15" s="8"/>
      <c r="G15" s="8"/>
      <c r="H15" s="8"/>
      <c r="I15" s="8"/>
      <c r="J15" s="8"/>
    </row>
    <row r="16" spans="1:10" ht="28.8" x14ac:dyDescent="0.3">
      <c r="A16" s="29" t="s">
        <v>869</v>
      </c>
      <c r="B16" s="29" t="s">
        <v>870</v>
      </c>
      <c r="C16" s="29" t="s">
        <v>871</v>
      </c>
      <c r="D16" s="29" t="s">
        <v>872</v>
      </c>
      <c r="E16" s="29" t="s">
        <v>873</v>
      </c>
      <c r="F16" s="29" t="s">
        <v>874</v>
      </c>
      <c r="G16" s="29" t="s">
        <v>875</v>
      </c>
      <c r="H16" s="29" t="s">
        <v>876</v>
      </c>
      <c r="I16" s="29" t="s">
        <v>877</v>
      </c>
      <c r="J16" s="29" t="s">
        <v>488</v>
      </c>
    </row>
    <row r="17" spans="1:10" ht="144" x14ac:dyDescent="0.3">
      <c r="A17" s="30" t="s">
        <v>725</v>
      </c>
      <c r="B17" s="32" t="s">
        <v>878</v>
      </c>
      <c r="C17" s="32" t="s">
        <v>879</v>
      </c>
      <c r="D17" s="32" t="s">
        <v>880</v>
      </c>
      <c r="E17" s="32" t="s">
        <v>881</v>
      </c>
      <c r="F17" s="32" t="s">
        <v>680</v>
      </c>
      <c r="G17" s="36">
        <v>46295</v>
      </c>
      <c r="H17" s="32" t="s">
        <v>882</v>
      </c>
      <c r="I17" s="32" t="s">
        <v>883</v>
      </c>
      <c r="J17" s="32" t="s">
        <v>884</v>
      </c>
    </row>
    <row r="18" spans="1:10" ht="172.8" x14ac:dyDescent="0.3">
      <c r="A18" s="30" t="s">
        <v>726</v>
      </c>
      <c r="B18" s="32" t="s">
        <v>885</v>
      </c>
      <c r="C18" s="32" t="s">
        <v>886</v>
      </c>
      <c r="D18" s="32" t="s">
        <v>887</v>
      </c>
      <c r="E18" s="32" t="s">
        <v>598</v>
      </c>
      <c r="F18" s="32" t="s">
        <v>888</v>
      </c>
      <c r="G18" s="32" t="s">
        <v>889</v>
      </c>
      <c r="H18" s="32" t="s">
        <v>890</v>
      </c>
      <c r="I18" s="32" t="s">
        <v>891</v>
      </c>
      <c r="J18" s="32" t="s">
        <v>892</v>
      </c>
    </row>
    <row r="19" spans="1:10" ht="158.4" x14ac:dyDescent="0.3">
      <c r="A19" s="30" t="s">
        <v>727</v>
      </c>
      <c r="B19" s="32" t="s">
        <v>893</v>
      </c>
      <c r="C19" s="32" t="s">
        <v>894</v>
      </c>
      <c r="D19" s="32" t="s">
        <v>895</v>
      </c>
      <c r="E19" s="32" t="s">
        <v>896</v>
      </c>
      <c r="F19" s="32" t="s">
        <v>897</v>
      </c>
      <c r="G19" s="32" t="s">
        <v>898</v>
      </c>
      <c r="H19" s="32" t="s">
        <v>899</v>
      </c>
      <c r="I19" s="32" t="s">
        <v>900</v>
      </c>
      <c r="J19" s="32" t="s">
        <v>901</v>
      </c>
    </row>
    <row r="20" spans="1:10" ht="158.4" x14ac:dyDescent="0.3">
      <c r="A20" s="30" t="s">
        <v>902</v>
      </c>
      <c r="B20" s="32" t="s">
        <v>903</v>
      </c>
      <c r="C20" s="32" t="s">
        <v>904</v>
      </c>
      <c r="D20" s="32" t="s">
        <v>905</v>
      </c>
      <c r="E20" s="32" t="s">
        <v>906</v>
      </c>
      <c r="F20" s="32" t="s">
        <v>907</v>
      </c>
      <c r="G20" s="32" t="s">
        <v>908</v>
      </c>
      <c r="H20" s="32" t="s">
        <v>909</v>
      </c>
      <c r="I20" s="32" t="s">
        <v>910</v>
      </c>
      <c r="J20" s="32" t="s">
        <v>911</v>
      </c>
    </row>
    <row r="22" spans="1:10" x14ac:dyDescent="0.3">
      <c r="A22" s="8" t="s">
        <v>728</v>
      </c>
      <c r="B22" s="8"/>
      <c r="C22" s="8"/>
      <c r="D22" s="8"/>
      <c r="E22" s="8"/>
      <c r="F22" s="8"/>
      <c r="G22" s="8"/>
      <c r="H22" s="8"/>
      <c r="I22" s="8"/>
      <c r="J22" s="8"/>
    </row>
    <row r="23" spans="1:10" ht="28.8" x14ac:dyDescent="0.3">
      <c r="A23" s="29" t="s">
        <v>912</v>
      </c>
      <c r="B23" s="29" t="s">
        <v>913</v>
      </c>
      <c r="C23" s="29" t="s">
        <v>914</v>
      </c>
      <c r="D23" s="29" t="s">
        <v>915</v>
      </c>
      <c r="E23" s="29" t="s">
        <v>916</v>
      </c>
      <c r="F23" s="29" t="s">
        <v>917</v>
      </c>
      <c r="G23" s="29" t="s">
        <v>918</v>
      </c>
      <c r="H23" s="29" t="s">
        <v>919</v>
      </c>
      <c r="I23" s="29" t="s">
        <v>920</v>
      </c>
      <c r="J23" s="29" t="s">
        <v>921</v>
      </c>
    </row>
    <row r="24" spans="1:10" ht="72" x14ac:dyDescent="0.3">
      <c r="A24" s="32" t="s">
        <v>922</v>
      </c>
      <c r="B24" s="32" t="s">
        <v>923</v>
      </c>
      <c r="C24" s="32" t="s">
        <v>924</v>
      </c>
      <c r="D24" s="32" t="s">
        <v>925</v>
      </c>
      <c r="E24" s="32" t="s">
        <v>926</v>
      </c>
      <c r="F24" s="32" t="s">
        <v>927</v>
      </c>
      <c r="G24" s="32" t="s">
        <v>928</v>
      </c>
      <c r="H24" s="32" t="s">
        <v>929</v>
      </c>
      <c r="I24" s="32" t="s">
        <v>930</v>
      </c>
      <c r="J24" s="32" t="s">
        <v>881</v>
      </c>
    </row>
    <row r="25" spans="1:10" ht="86.4" x14ac:dyDescent="0.3">
      <c r="A25" s="32" t="s">
        <v>931</v>
      </c>
      <c r="B25" s="32" t="s">
        <v>932</v>
      </c>
      <c r="C25" s="32" t="s">
        <v>933</v>
      </c>
      <c r="D25" s="32" t="s">
        <v>934</v>
      </c>
      <c r="E25" s="32" t="s">
        <v>935</v>
      </c>
      <c r="F25" s="32" t="s">
        <v>936</v>
      </c>
      <c r="G25" s="32" t="s">
        <v>937</v>
      </c>
      <c r="H25" s="32" t="s">
        <v>938</v>
      </c>
      <c r="I25" s="32" t="s">
        <v>939</v>
      </c>
      <c r="J25" s="32" t="s">
        <v>906</v>
      </c>
    </row>
    <row r="26" spans="1:10" ht="86.4" x14ac:dyDescent="0.3">
      <c r="A26" s="32" t="s">
        <v>940</v>
      </c>
      <c r="B26" s="32" t="s">
        <v>941</v>
      </c>
      <c r="C26" s="32" t="s">
        <v>942</v>
      </c>
      <c r="D26" s="32" t="s">
        <v>943</v>
      </c>
      <c r="E26" s="32" t="s">
        <v>944</v>
      </c>
      <c r="F26" s="32" t="s">
        <v>945</v>
      </c>
      <c r="G26" s="32" t="s">
        <v>946</v>
      </c>
      <c r="H26" s="32" t="s">
        <v>947</v>
      </c>
      <c r="I26" s="32" t="s">
        <v>948</v>
      </c>
      <c r="J26" s="32" t="s">
        <v>949</v>
      </c>
    </row>
    <row r="27" spans="1:10" ht="72" x14ac:dyDescent="0.3">
      <c r="A27" s="32" t="s">
        <v>908</v>
      </c>
      <c r="B27" s="32" t="s">
        <v>950</v>
      </c>
      <c r="C27" s="32" t="s">
        <v>951</v>
      </c>
      <c r="D27" s="32" t="s">
        <v>952</v>
      </c>
      <c r="E27" s="32" t="s">
        <v>953</v>
      </c>
      <c r="F27" s="32" t="s">
        <v>954</v>
      </c>
      <c r="G27" s="32" t="s">
        <v>955</v>
      </c>
      <c r="H27" s="32" t="s">
        <v>956</v>
      </c>
      <c r="I27" s="32" t="s">
        <v>957</v>
      </c>
      <c r="J27" s="32" t="s">
        <v>958</v>
      </c>
    </row>
    <row r="29" spans="1:10" x14ac:dyDescent="0.3">
      <c r="A29" s="8" t="s">
        <v>729</v>
      </c>
      <c r="B29" s="8"/>
      <c r="C29" s="8"/>
      <c r="D29" s="8"/>
      <c r="E29" s="8"/>
      <c r="F29" s="8"/>
      <c r="G29" s="8"/>
      <c r="H29" s="8"/>
      <c r="I29" s="8"/>
      <c r="J29" s="8"/>
    </row>
    <row r="30" spans="1:10" ht="28.8" x14ac:dyDescent="0.3">
      <c r="A30" s="29" t="s">
        <v>959</v>
      </c>
      <c r="B30" s="29" t="s">
        <v>960</v>
      </c>
      <c r="C30" s="29" t="s">
        <v>961</v>
      </c>
      <c r="D30" s="29" t="s">
        <v>962</v>
      </c>
      <c r="E30" s="29" t="s">
        <v>963</v>
      </c>
      <c r="F30" s="29" t="s">
        <v>964</v>
      </c>
      <c r="G30" s="29" t="s">
        <v>965</v>
      </c>
      <c r="H30" s="29" t="s">
        <v>966</v>
      </c>
      <c r="I30" s="29" t="s">
        <v>967</v>
      </c>
      <c r="J30" s="29" t="s">
        <v>968</v>
      </c>
    </row>
    <row r="31" spans="1:10" ht="57.6" x14ac:dyDescent="0.3">
      <c r="A31" s="32" t="s">
        <v>969</v>
      </c>
      <c r="B31" s="32" t="s">
        <v>970</v>
      </c>
      <c r="C31" s="32" t="s">
        <v>971</v>
      </c>
      <c r="D31" s="32" t="s">
        <v>972</v>
      </c>
      <c r="E31" s="32" t="s">
        <v>973</v>
      </c>
      <c r="F31" s="32" t="s">
        <v>974</v>
      </c>
      <c r="G31" s="32" t="s">
        <v>881</v>
      </c>
      <c r="H31" s="32" t="s">
        <v>975</v>
      </c>
      <c r="I31" s="32" t="s">
        <v>976</v>
      </c>
      <c r="J31" s="32" t="s">
        <v>977</v>
      </c>
    </row>
    <row r="32" spans="1:10" ht="86.4" x14ac:dyDescent="0.3">
      <c r="A32" s="32" t="s">
        <v>730</v>
      </c>
      <c r="B32" s="32" t="s">
        <v>978</v>
      </c>
      <c r="C32" s="32" t="s">
        <v>979</v>
      </c>
      <c r="D32" s="32" t="s">
        <v>980</v>
      </c>
      <c r="E32" s="32" t="s">
        <v>981</v>
      </c>
      <c r="F32" s="32" t="s">
        <v>982</v>
      </c>
      <c r="G32" s="32" t="s">
        <v>598</v>
      </c>
      <c r="H32" s="32" t="s">
        <v>983</v>
      </c>
      <c r="I32" s="32" t="s">
        <v>976</v>
      </c>
      <c r="J32" s="32" t="s">
        <v>984</v>
      </c>
    </row>
    <row r="33" spans="1:10" ht="72" x14ac:dyDescent="0.3">
      <c r="A33" s="32" t="s">
        <v>731</v>
      </c>
      <c r="B33" s="32" t="s">
        <v>985</v>
      </c>
      <c r="C33" s="32" t="s">
        <v>986</v>
      </c>
      <c r="D33" s="32" t="s">
        <v>987</v>
      </c>
      <c r="E33" s="32" t="s">
        <v>988</v>
      </c>
      <c r="F33" s="32" t="s">
        <v>989</v>
      </c>
      <c r="G33" s="32" t="s">
        <v>600</v>
      </c>
      <c r="H33" s="32" t="s">
        <v>990</v>
      </c>
      <c r="I33" s="32" t="s">
        <v>976</v>
      </c>
      <c r="J33" s="32" t="s">
        <v>991</v>
      </c>
    </row>
    <row r="34" spans="1:10" ht="86.4" x14ac:dyDescent="0.3">
      <c r="A34" s="32" t="s">
        <v>992</v>
      </c>
      <c r="B34" s="32" t="s">
        <v>993</v>
      </c>
      <c r="C34" s="32" t="s">
        <v>994</v>
      </c>
      <c r="D34" s="32" t="s">
        <v>995</v>
      </c>
      <c r="E34" s="32" t="s">
        <v>996</v>
      </c>
      <c r="F34" s="32" t="s">
        <v>997</v>
      </c>
      <c r="G34" s="32" t="s">
        <v>998</v>
      </c>
      <c r="H34" s="32" t="s">
        <v>999</v>
      </c>
      <c r="I34" s="32" t="s">
        <v>1000</v>
      </c>
      <c r="J34" s="32" t="s">
        <v>1001</v>
      </c>
    </row>
    <row r="35" spans="1:10" ht="86.4" x14ac:dyDescent="0.3">
      <c r="A35" s="32" t="s">
        <v>1002</v>
      </c>
      <c r="B35" s="32" t="s">
        <v>1003</v>
      </c>
      <c r="C35" s="32" t="s">
        <v>1004</v>
      </c>
      <c r="D35" s="32" t="s">
        <v>1005</v>
      </c>
      <c r="E35" s="32" t="s">
        <v>1006</v>
      </c>
      <c r="F35" s="32" t="s">
        <v>1007</v>
      </c>
      <c r="G35" s="32" t="s">
        <v>1008</v>
      </c>
      <c r="H35" s="32" t="s">
        <v>1009</v>
      </c>
      <c r="I35" s="32" t="s">
        <v>1000</v>
      </c>
      <c r="J35" s="32" t="s">
        <v>1010</v>
      </c>
    </row>
    <row r="36" spans="1:10" ht="86.4" x14ac:dyDescent="0.3">
      <c r="A36" s="32" t="s">
        <v>732</v>
      </c>
      <c r="B36" s="32" t="s">
        <v>1011</v>
      </c>
      <c r="C36" s="32" t="s">
        <v>1012</v>
      </c>
      <c r="D36" s="32" t="s">
        <v>1013</v>
      </c>
      <c r="E36" s="32" t="s">
        <v>1014</v>
      </c>
      <c r="F36" s="32" t="s">
        <v>1015</v>
      </c>
      <c r="G36" s="32" t="s">
        <v>906</v>
      </c>
      <c r="H36" s="32" t="s">
        <v>1016</v>
      </c>
      <c r="I36" s="32" t="s">
        <v>976</v>
      </c>
      <c r="J36" s="32" t="s">
        <v>1017</v>
      </c>
    </row>
    <row r="38" spans="1:10" x14ac:dyDescent="0.3">
      <c r="A38" s="8" t="s">
        <v>1018</v>
      </c>
      <c r="B38" s="8"/>
      <c r="C38" s="8"/>
      <c r="D38" s="8"/>
      <c r="E38" s="8"/>
      <c r="F38" s="8"/>
      <c r="G38" s="8"/>
      <c r="H38" s="8"/>
      <c r="I38" s="8"/>
      <c r="J38" s="8"/>
    </row>
    <row r="39" spans="1:10" x14ac:dyDescent="0.3">
      <c r="A39" s="29" t="s">
        <v>536</v>
      </c>
      <c r="B39" s="29" t="s">
        <v>1019</v>
      </c>
      <c r="C39" s="29" t="s">
        <v>1020</v>
      </c>
      <c r="D39" s="29" t="s">
        <v>1021</v>
      </c>
      <c r="E39" s="29" t="s">
        <v>1022</v>
      </c>
      <c r="F39" s="29" t="s">
        <v>1023</v>
      </c>
      <c r="G39" s="29" t="s">
        <v>536</v>
      </c>
      <c r="H39" s="29" t="s">
        <v>1019</v>
      </c>
      <c r="I39" s="29" t="s">
        <v>1020</v>
      </c>
      <c r="J39" s="29" t="s">
        <v>1023</v>
      </c>
    </row>
    <row r="40" spans="1:10" ht="28.8" x14ac:dyDescent="0.3">
      <c r="A40" s="21" t="s">
        <v>596</v>
      </c>
      <c r="B40" s="21" t="s">
        <v>1024</v>
      </c>
      <c r="C40" s="21" t="s">
        <v>1025</v>
      </c>
      <c r="D40" s="21" t="s">
        <v>1026</v>
      </c>
      <c r="E40" s="21" t="s">
        <v>881</v>
      </c>
      <c r="F40" s="21" t="s">
        <v>1027</v>
      </c>
      <c r="G40" s="21" t="s">
        <v>1028</v>
      </c>
      <c r="H40" s="21" t="s">
        <v>1029</v>
      </c>
      <c r="I40" s="21" t="s">
        <v>1030</v>
      </c>
      <c r="J40" s="21" t="s">
        <v>1031</v>
      </c>
    </row>
    <row r="41" spans="1:10" ht="57.6" x14ac:dyDescent="0.3">
      <c r="A41" s="21" t="s">
        <v>1032</v>
      </c>
      <c r="B41" s="21" t="s">
        <v>1033</v>
      </c>
      <c r="C41" s="21" t="s">
        <v>1034</v>
      </c>
      <c r="D41" s="21" t="s">
        <v>1035</v>
      </c>
      <c r="E41" s="21" t="s">
        <v>906</v>
      </c>
      <c r="F41" s="21" t="s">
        <v>1036</v>
      </c>
      <c r="G41" s="21" t="s">
        <v>1037</v>
      </c>
      <c r="H41" s="21" t="s">
        <v>1038</v>
      </c>
      <c r="I41" s="21" t="s">
        <v>1039</v>
      </c>
      <c r="J41" s="21" t="s">
        <v>1040</v>
      </c>
    </row>
  </sheetData>
  <mergeCells count="7">
    <mergeCell ref="A22:J22"/>
    <mergeCell ref="A29:J29"/>
    <mergeCell ref="A38:J38"/>
    <mergeCell ref="A1:J1"/>
    <mergeCell ref="A2:J2"/>
    <mergeCell ref="A4:J4"/>
    <mergeCell ref="A15:J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56"/>
  <sheetViews>
    <sheetView topLeftCell="A76" workbookViewId="0">
      <selection activeCell="AR1" sqref="AR1"/>
    </sheetView>
  </sheetViews>
  <sheetFormatPr defaultRowHeight="14.4" x14ac:dyDescent="0.3"/>
  <cols>
    <col min="1" max="1" width="20" bestFit="1" customWidth="1"/>
    <col min="2" max="3" width="20" style="24" bestFit="1" customWidth="1"/>
    <col min="4" max="45" width="20" bestFit="1" customWidth="1"/>
  </cols>
  <sheetData>
    <row r="1" spans="1:45" x14ac:dyDescent="0.3">
      <c r="A1" s="22" t="s">
        <v>0</v>
      </c>
      <c r="B1" s="23" t="s">
        <v>1</v>
      </c>
      <c r="C1" s="23"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c r="R1" s="22" t="s">
        <v>17</v>
      </c>
      <c r="S1" s="22" t="s">
        <v>18</v>
      </c>
      <c r="T1" s="22" t="s">
        <v>19</v>
      </c>
      <c r="U1" s="22" t="s">
        <v>20</v>
      </c>
      <c r="V1" s="22" t="s">
        <v>21</v>
      </c>
      <c r="W1" s="22" t="s">
        <v>22</v>
      </c>
      <c r="X1" s="22" t="s">
        <v>23</v>
      </c>
      <c r="Y1" s="22" t="s">
        <v>24</v>
      </c>
      <c r="Z1" s="22" t="s">
        <v>25</v>
      </c>
      <c r="AA1" s="22" t="s">
        <v>26</v>
      </c>
      <c r="AB1" s="22" t="s">
        <v>27</v>
      </c>
      <c r="AC1" s="22" t="s">
        <v>28</v>
      </c>
      <c r="AD1" s="22" t="s">
        <v>29</v>
      </c>
      <c r="AE1" s="22" t="s">
        <v>30</v>
      </c>
      <c r="AF1" s="22" t="s">
        <v>31</v>
      </c>
      <c r="AG1" s="22" t="s">
        <v>32</v>
      </c>
      <c r="AH1" s="22" t="s">
        <v>33</v>
      </c>
      <c r="AI1" s="22" t="s">
        <v>34</v>
      </c>
      <c r="AJ1" s="22" t="s">
        <v>35</v>
      </c>
      <c r="AK1" s="22" t="s">
        <v>36</v>
      </c>
      <c r="AL1" s="22" t="s">
        <v>37</v>
      </c>
      <c r="AM1" s="22" t="s">
        <v>38</v>
      </c>
      <c r="AN1" s="22" t="s">
        <v>39</v>
      </c>
      <c r="AO1" s="22" t="s">
        <v>40</v>
      </c>
      <c r="AP1" s="22" t="s">
        <v>41</v>
      </c>
      <c r="AQ1" s="22" t="s">
        <v>42</v>
      </c>
      <c r="AR1" s="22" t="s">
        <v>43</v>
      </c>
      <c r="AS1" s="22" t="s">
        <v>44</v>
      </c>
    </row>
    <row r="2" spans="1:45" x14ac:dyDescent="0.3">
      <c r="A2">
        <v>1</v>
      </c>
      <c r="B2" s="24">
        <v>46203.84165509259</v>
      </c>
      <c r="C2" s="24">
        <v>46203.84884259259</v>
      </c>
      <c r="D2" t="s">
        <v>45</v>
      </c>
      <c r="F2" s="1"/>
      <c r="G2" t="s">
        <v>46</v>
      </c>
      <c r="H2" t="s">
        <v>47</v>
      </c>
      <c r="I2" t="s">
        <v>48</v>
      </c>
      <c r="J2" t="s">
        <v>49</v>
      </c>
      <c r="K2" t="s">
        <v>50</v>
      </c>
      <c r="L2" t="s">
        <v>51</v>
      </c>
      <c r="M2" t="s">
        <v>51</v>
      </c>
      <c r="N2" t="s">
        <v>52</v>
      </c>
      <c r="O2" t="s">
        <v>53</v>
      </c>
      <c r="P2" t="s">
        <v>54</v>
      </c>
      <c r="Q2" t="s">
        <v>55</v>
      </c>
      <c r="R2" t="s">
        <v>56</v>
      </c>
      <c r="S2" t="s">
        <v>57</v>
      </c>
      <c r="T2" t="s">
        <v>58</v>
      </c>
      <c r="U2" t="s">
        <v>59</v>
      </c>
      <c r="V2" t="s">
        <v>59</v>
      </c>
      <c r="W2" t="s">
        <v>59</v>
      </c>
      <c r="X2" t="s">
        <v>59</v>
      </c>
      <c r="Y2" t="s">
        <v>59</v>
      </c>
      <c r="Z2" t="s">
        <v>59</v>
      </c>
      <c r="AA2" t="s">
        <v>59</v>
      </c>
      <c r="AB2" t="s">
        <v>59</v>
      </c>
      <c r="AC2" t="s">
        <v>59</v>
      </c>
      <c r="AD2" t="s">
        <v>60</v>
      </c>
      <c r="AE2" t="s">
        <v>61</v>
      </c>
      <c r="AF2" t="s">
        <v>62</v>
      </c>
      <c r="AG2" t="s">
        <v>63</v>
      </c>
      <c r="AH2" t="s">
        <v>63</v>
      </c>
      <c r="AI2" t="s">
        <v>64</v>
      </c>
      <c r="AJ2" t="s">
        <v>65</v>
      </c>
      <c r="AK2" t="s">
        <v>63</v>
      </c>
      <c r="AL2" t="s">
        <v>66</v>
      </c>
      <c r="AM2" t="s">
        <v>67</v>
      </c>
      <c r="AN2" t="s">
        <v>68</v>
      </c>
      <c r="AO2" t="s">
        <v>63</v>
      </c>
      <c r="AP2" t="s">
        <v>69</v>
      </c>
      <c r="AQ2" t="s">
        <v>63</v>
      </c>
      <c r="AR2" s="25">
        <v>9</v>
      </c>
      <c r="AS2" t="s">
        <v>70</v>
      </c>
    </row>
    <row r="3" spans="1:45" x14ac:dyDescent="0.3">
      <c r="A3">
        <v>2</v>
      </c>
      <c r="B3" s="24">
        <v>46203.850497685184</v>
      </c>
      <c r="C3" s="24">
        <v>46203.859155092592</v>
      </c>
      <c r="D3" t="s">
        <v>45</v>
      </c>
      <c r="F3" s="1"/>
      <c r="G3" t="s">
        <v>46</v>
      </c>
      <c r="H3" t="s">
        <v>47</v>
      </c>
      <c r="I3" t="s">
        <v>48</v>
      </c>
      <c r="J3" t="s">
        <v>71</v>
      </c>
      <c r="K3" t="s">
        <v>72</v>
      </c>
      <c r="L3" t="s">
        <v>73</v>
      </c>
      <c r="M3" t="s">
        <v>73</v>
      </c>
      <c r="N3" t="s">
        <v>52</v>
      </c>
      <c r="O3" t="s">
        <v>53</v>
      </c>
      <c r="P3" t="s">
        <v>74</v>
      </c>
      <c r="Q3" t="s">
        <v>75</v>
      </c>
      <c r="R3" t="s">
        <v>76</v>
      </c>
      <c r="S3" t="s">
        <v>77</v>
      </c>
      <c r="T3" t="s">
        <v>78</v>
      </c>
      <c r="U3" t="s">
        <v>59</v>
      </c>
      <c r="V3" t="s">
        <v>59</v>
      </c>
      <c r="W3" t="s">
        <v>79</v>
      </c>
      <c r="X3" t="s">
        <v>79</v>
      </c>
      <c r="Y3" t="s">
        <v>59</v>
      </c>
      <c r="Z3" t="s">
        <v>59</v>
      </c>
      <c r="AA3" t="s">
        <v>79</v>
      </c>
      <c r="AB3" t="s">
        <v>59</v>
      </c>
      <c r="AC3" t="s">
        <v>59</v>
      </c>
      <c r="AD3" t="s">
        <v>80</v>
      </c>
      <c r="AE3" t="s">
        <v>61</v>
      </c>
      <c r="AF3" t="s">
        <v>62</v>
      </c>
      <c r="AG3" t="s">
        <v>81</v>
      </c>
      <c r="AH3" t="s">
        <v>81</v>
      </c>
      <c r="AI3" t="s">
        <v>63</v>
      </c>
      <c r="AJ3" t="s">
        <v>82</v>
      </c>
      <c r="AK3" t="s">
        <v>81</v>
      </c>
      <c r="AL3" t="s">
        <v>66</v>
      </c>
      <c r="AM3" t="s">
        <v>67</v>
      </c>
      <c r="AN3" t="s">
        <v>68</v>
      </c>
      <c r="AO3" t="s">
        <v>63</v>
      </c>
      <c r="AP3" t="s">
        <v>69</v>
      </c>
      <c r="AQ3" t="s">
        <v>63</v>
      </c>
      <c r="AR3" s="25">
        <v>7</v>
      </c>
      <c r="AS3" t="s">
        <v>83</v>
      </c>
    </row>
    <row r="4" spans="1:45" x14ac:dyDescent="0.3">
      <c r="A4">
        <v>3</v>
      </c>
      <c r="B4" s="24">
        <v>46203.854988425926</v>
      </c>
      <c r="C4" s="24">
        <v>46203.860300925924</v>
      </c>
      <c r="D4" t="s">
        <v>45</v>
      </c>
      <c r="F4" s="1"/>
      <c r="G4" t="s">
        <v>46</v>
      </c>
      <c r="H4" t="s">
        <v>47</v>
      </c>
      <c r="I4" t="s">
        <v>84</v>
      </c>
      <c r="J4" t="s">
        <v>49</v>
      </c>
      <c r="K4" t="s">
        <v>85</v>
      </c>
      <c r="L4" t="s">
        <v>51</v>
      </c>
      <c r="M4" t="s">
        <v>51</v>
      </c>
      <c r="N4" t="s">
        <v>52</v>
      </c>
      <c r="O4" t="s">
        <v>53</v>
      </c>
      <c r="P4" t="s">
        <v>74</v>
      </c>
      <c r="Q4" t="s">
        <v>75</v>
      </c>
      <c r="R4" t="s">
        <v>76</v>
      </c>
      <c r="S4" t="s">
        <v>77</v>
      </c>
      <c r="T4" t="s">
        <v>78</v>
      </c>
      <c r="U4" t="s">
        <v>86</v>
      </c>
      <c r="V4" t="s">
        <v>87</v>
      </c>
      <c r="W4" t="s">
        <v>86</v>
      </c>
      <c r="X4" t="s">
        <v>86</v>
      </c>
      <c r="Y4" t="s">
        <v>59</v>
      </c>
      <c r="Z4" t="s">
        <v>87</v>
      </c>
      <c r="AA4" t="s">
        <v>86</v>
      </c>
      <c r="AB4" t="s">
        <v>87</v>
      </c>
      <c r="AC4" t="s">
        <v>79</v>
      </c>
      <c r="AD4" t="s">
        <v>60</v>
      </c>
      <c r="AE4" t="s">
        <v>88</v>
      </c>
      <c r="AF4" t="s">
        <v>62</v>
      </c>
      <c r="AG4" t="s">
        <v>63</v>
      </c>
      <c r="AH4" t="s">
        <v>63</v>
      </c>
      <c r="AI4" t="s">
        <v>63</v>
      </c>
      <c r="AJ4" t="s">
        <v>82</v>
      </c>
      <c r="AK4" t="s">
        <v>63</v>
      </c>
      <c r="AL4" t="s">
        <v>66</v>
      </c>
      <c r="AM4" t="s">
        <v>67</v>
      </c>
      <c r="AN4" t="s">
        <v>89</v>
      </c>
      <c r="AO4" t="s">
        <v>63</v>
      </c>
      <c r="AP4" t="s">
        <v>69</v>
      </c>
      <c r="AQ4" t="s">
        <v>63</v>
      </c>
      <c r="AR4" s="25">
        <v>8</v>
      </c>
      <c r="AS4" t="s">
        <v>90</v>
      </c>
    </row>
    <row r="5" spans="1:45" x14ac:dyDescent="0.3">
      <c r="A5">
        <v>4</v>
      </c>
      <c r="B5" s="24">
        <v>46203.854733796295</v>
      </c>
      <c r="C5" s="24">
        <v>46203.860879629632</v>
      </c>
      <c r="D5" t="s">
        <v>45</v>
      </c>
      <c r="F5" s="1"/>
      <c r="G5" t="s">
        <v>46</v>
      </c>
      <c r="H5" t="s">
        <v>91</v>
      </c>
      <c r="I5" t="s">
        <v>48</v>
      </c>
      <c r="J5" t="s">
        <v>49</v>
      </c>
      <c r="K5" t="s">
        <v>92</v>
      </c>
      <c r="L5" t="s">
        <v>51</v>
      </c>
      <c r="M5" t="s">
        <v>51</v>
      </c>
      <c r="N5" t="s">
        <v>52</v>
      </c>
      <c r="O5" t="s">
        <v>53</v>
      </c>
      <c r="P5" t="s">
        <v>54</v>
      </c>
      <c r="Q5" t="s">
        <v>55</v>
      </c>
      <c r="R5" t="s">
        <v>56</v>
      </c>
      <c r="S5" t="s">
        <v>57</v>
      </c>
      <c r="T5" t="s">
        <v>93</v>
      </c>
      <c r="U5" t="s">
        <v>87</v>
      </c>
      <c r="V5" t="s">
        <v>59</v>
      </c>
      <c r="W5" t="s">
        <v>59</v>
      </c>
      <c r="X5" t="s">
        <v>59</v>
      </c>
      <c r="Y5" t="s">
        <v>59</v>
      </c>
      <c r="Z5" t="s">
        <v>87</v>
      </c>
      <c r="AA5" t="s">
        <v>79</v>
      </c>
      <c r="AB5" t="s">
        <v>59</v>
      </c>
      <c r="AC5" t="s">
        <v>59</v>
      </c>
      <c r="AD5" t="s">
        <v>60</v>
      </c>
      <c r="AE5" t="s">
        <v>94</v>
      </c>
      <c r="AF5" t="s">
        <v>62</v>
      </c>
      <c r="AG5" t="s">
        <v>63</v>
      </c>
      <c r="AH5" t="s">
        <v>63</v>
      </c>
      <c r="AI5" t="s">
        <v>63</v>
      </c>
      <c r="AJ5" t="s">
        <v>65</v>
      </c>
      <c r="AK5" t="s">
        <v>63</v>
      </c>
      <c r="AL5" t="s">
        <v>66</v>
      </c>
      <c r="AM5" t="s">
        <v>67</v>
      </c>
      <c r="AN5" t="s">
        <v>89</v>
      </c>
      <c r="AO5" t="s">
        <v>63</v>
      </c>
      <c r="AP5" t="s">
        <v>69</v>
      </c>
      <c r="AQ5" t="s">
        <v>63</v>
      </c>
      <c r="AR5" s="25">
        <v>9</v>
      </c>
      <c r="AS5" t="s">
        <v>95</v>
      </c>
    </row>
    <row r="6" spans="1:45" x14ac:dyDescent="0.3">
      <c r="A6">
        <v>5</v>
      </c>
      <c r="B6" s="24">
        <v>46203.862893518519</v>
      </c>
      <c r="C6" s="24">
        <v>46203.868900462963</v>
      </c>
      <c r="D6" t="s">
        <v>45</v>
      </c>
      <c r="F6" s="1"/>
      <c r="G6" t="s">
        <v>46</v>
      </c>
      <c r="H6" t="s">
        <v>47</v>
      </c>
      <c r="I6" t="s">
        <v>48</v>
      </c>
      <c r="J6" t="s">
        <v>96</v>
      </c>
      <c r="K6" t="s">
        <v>97</v>
      </c>
      <c r="L6" t="s">
        <v>51</v>
      </c>
      <c r="M6" t="s">
        <v>51</v>
      </c>
      <c r="N6" t="s">
        <v>52</v>
      </c>
      <c r="O6" t="s">
        <v>53</v>
      </c>
      <c r="P6" t="s">
        <v>74</v>
      </c>
      <c r="Q6" t="s">
        <v>55</v>
      </c>
      <c r="R6" t="s">
        <v>76</v>
      </c>
      <c r="S6" t="s">
        <v>77</v>
      </c>
      <c r="T6" t="s">
        <v>93</v>
      </c>
      <c r="U6" t="s">
        <v>79</v>
      </c>
      <c r="V6" t="s">
        <v>59</v>
      </c>
      <c r="W6" t="s">
        <v>59</v>
      </c>
      <c r="X6" t="s">
        <v>79</v>
      </c>
      <c r="Y6" t="s">
        <v>59</v>
      </c>
      <c r="Z6" t="s">
        <v>59</v>
      </c>
      <c r="AA6" t="s">
        <v>59</v>
      </c>
      <c r="AB6" t="s">
        <v>59</v>
      </c>
      <c r="AC6" t="s">
        <v>79</v>
      </c>
      <c r="AD6" t="s">
        <v>60</v>
      </c>
      <c r="AE6" t="s">
        <v>61</v>
      </c>
      <c r="AF6" t="s">
        <v>62</v>
      </c>
      <c r="AG6" t="s">
        <v>63</v>
      </c>
      <c r="AH6" t="s">
        <v>63</v>
      </c>
      <c r="AI6" t="s">
        <v>63</v>
      </c>
      <c r="AJ6" t="s">
        <v>82</v>
      </c>
      <c r="AK6" t="s">
        <v>63</v>
      </c>
      <c r="AL6" t="s">
        <v>66</v>
      </c>
      <c r="AM6" t="s">
        <v>67</v>
      </c>
      <c r="AN6" t="s">
        <v>89</v>
      </c>
      <c r="AO6" t="s">
        <v>63</v>
      </c>
      <c r="AP6" t="s">
        <v>98</v>
      </c>
      <c r="AQ6" t="s">
        <v>63</v>
      </c>
      <c r="AR6" s="25">
        <v>8</v>
      </c>
      <c r="AS6" t="s">
        <v>99</v>
      </c>
    </row>
    <row r="7" spans="1:45" x14ac:dyDescent="0.3">
      <c r="A7">
        <v>6</v>
      </c>
      <c r="B7" s="24">
        <v>46203.85659722222</v>
      </c>
      <c r="C7" s="24">
        <v>46203.869270833333</v>
      </c>
      <c r="D7" t="s">
        <v>45</v>
      </c>
      <c r="F7" s="1"/>
      <c r="G7" t="s">
        <v>100</v>
      </c>
      <c r="H7" t="s">
        <v>47</v>
      </c>
      <c r="I7" t="s">
        <v>101</v>
      </c>
      <c r="J7" t="s">
        <v>49</v>
      </c>
      <c r="K7" t="s">
        <v>50</v>
      </c>
      <c r="L7" t="s">
        <v>73</v>
      </c>
      <c r="M7" t="s">
        <v>73</v>
      </c>
      <c r="N7" t="s">
        <v>52</v>
      </c>
      <c r="O7" t="s">
        <v>53</v>
      </c>
      <c r="P7" t="s">
        <v>74</v>
      </c>
      <c r="Q7" t="s">
        <v>75</v>
      </c>
      <c r="R7" t="s">
        <v>76</v>
      </c>
      <c r="S7" t="s">
        <v>77</v>
      </c>
      <c r="T7" t="s">
        <v>58</v>
      </c>
      <c r="U7" t="s">
        <v>79</v>
      </c>
      <c r="V7" t="s">
        <v>87</v>
      </c>
      <c r="W7" t="s">
        <v>79</v>
      </c>
      <c r="X7" t="s">
        <v>79</v>
      </c>
      <c r="Y7" t="s">
        <v>59</v>
      </c>
      <c r="Z7" t="s">
        <v>59</v>
      </c>
      <c r="AA7" t="s">
        <v>59</v>
      </c>
      <c r="AB7" t="s">
        <v>79</v>
      </c>
      <c r="AC7" t="s">
        <v>59</v>
      </c>
      <c r="AD7" t="s">
        <v>60</v>
      </c>
      <c r="AE7" t="s">
        <v>88</v>
      </c>
      <c r="AF7" t="s">
        <v>62</v>
      </c>
      <c r="AG7" t="s">
        <v>63</v>
      </c>
      <c r="AH7" t="s">
        <v>63</v>
      </c>
      <c r="AI7" t="s">
        <v>63</v>
      </c>
      <c r="AJ7" t="s">
        <v>65</v>
      </c>
      <c r="AK7" t="s">
        <v>63</v>
      </c>
      <c r="AL7" t="s">
        <v>102</v>
      </c>
      <c r="AM7" t="s">
        <v>67</v>
      </c>
      <c r="AN7" t="s">
        <v>89</v>
      </c>
      <c r="AO7" t="s">
        <v>63</v>
      </c>
      <c r="AP7" t="s">
        <v>69</v>
      </c>
      <c r="AQ7" t="s">
        <v>63</v>
      </c>
      <c r="AR7" s="25">
        <v>10</v>
      </c>
      <c r="AS7" t="s">
        <v>103</v>
      </c>
    </row>
    <row r="8" spans="1:45" x14ac:dyDescent="0.3">
      <c r="A8">
        <v>7</v>
      </c>
      <c r="B8" s="24">
        <v>46203.863449074073</v>
      </c>
      <c r="C8" s="24">
        <v>46203.870127314818</v>
      </c>
      <c r="D8" t="s">
        <v>45</v>
      </c>
      <c r="F8" s="1"/>
      <c r="G8" t="s">
        <v>46</v>
      </c>
      <c r="H8" t="s">
        <v>91</v>
      </c>
      <c r="I8" t="s">
        <v>48</v>
      </c>
      <c r="J8" t="s">
        <v>104</v>
      </c>
      <c r="K8" t="s">
        <v>105</v>
      </c>
      <c r="L8" t="s">
        <v>73</v>
      </c>
      <c r="M8" t="s">
        <v>73</v>
      </c>
      <c r="N8" t="s">
        <v>52</v>
      </c>
      <c r="O8" t="s">
        <v>53</v>
      </c>
      <c r="P8" t="s">
        <v>74</v>
      </c>
      <c r="Q8" t="s">
        <v>75</v>
      </c>
      <c r="R8" t="s">
        <v>76</v>
      </c>
      <c r="S8" t="s">
        <v>106</v>
      </c>
      <c r="T8" t="s">
        <v>78</v>
      </c>
      <c r="U8" t="s">
        <v>87</v>
      </c>
      <c r="V8" t="s">
        <v>87</v>
      </c>
      <c r="W8" t="s">
        <v>87</v>
      </c>
      <c r="X8" t="s">
        <v>87</v>
      </c>
      <c r="Y8" t="s">
        <v>59</v>
      </c>
      <c r="Z8" t="s">
        <v>79</v>
      </c>
      <c r="AA8" t="s">
        <v>79</v>
      </c>
      <c r="AB8" t="s">
        <v>79</v>
      </c>
      <c r="AC8" t="s">
        <v>79</v>
      </c>
      <c r="AD8" t="s">
        <v>60</v>
      </c>
      <c r="AE8" t="s">
        <v>61</v>
      </c>
      <c r="AF8" t="s">
        <v>62</v>
      </c>
      <c r="AG8" t="s">
        <v>81</v>
      </c>
      <c r="AH8" t="s">
        <v>63</v>
      </c>
      <c r="AI8" t="s">
        <v>64</v>
      </c>
      <c r="AJ8" t="s">
        <v>65</v>
      </c>
      <c r="AK8" t="s">
        <v>63</v>
      </c>
      <c r="AL8" t="s">
        <v>66</v>
      </c>
      <c r="AM8" t="s">
        <v>67</v>
      </c>
      <c r="AN8" t="s">
        <v>68</v>
      </c>
      <c r="AO8" t="s">
        <v>63</v>
      </c>
      <c r="AP8" t="s">
        <v>107</v>
      </c>
      <c r="AQ8" t="s">
        <v>63</v>
      </c>
      <c r="AR8" s="25">
        <v>8</v>
      </c>
      <c r="AS8" s="3" t="s">
        <v>108</v>
      </c>
    </row>
    <row r="9" spans="1:45" x14ac:dyDescent="0.3">
      <c r="A9">
        <v>8</v>
      </c>
      <c r="B9" s="24">
        <v>46203.867060185185</v>
      </c>
      <c r="C9" s="24">
        <v>46203.873796296299</v>
      </c>
      <c r="D9" t="s">
        <v>45</v>
      </c>
      <c r="F9" s="1"/>
      <c r="G9" t="s">
        <v>46</v>
      </c>
      <c r="H9" t="s">
        <v>47</v>
      </c>
      <c r="I9" t="s">
        <v>48</v>
      </c>
      <c r="J9" t="s">
        <v>49</v>
      </c>
      <c r="K9" t="s">
        <v>109</v>
      </c>
      <c r="L9" t="s">
        <v>73</v>
      </c>
      <c r="M9" t="s">
        <v>73</v>
      </c>
      <c r="N9" t="s">
        <v>52</v>
      </c>
      <c r="O9" t="s">
        <v>53</v>
      </c>
      <c r="P9" t="s">
        <v>74</v>
      </c>
      <c r="Q9" t="s">
        <v>75</v>
      </c>
      <c r="R9" t="s">
        <v>56</v>
      </c>
      <c r="S9" t="s">
        <v>77</v>
      </c>
      <c r="T9" t="s">
        <v>58</v>
      </c>
      <c r="U9" t="s">
        <v>86</v>
      </c>
      <c r="V9" t="s">
        <v>79</v>
      </c>
      <c r="W9" t="s">
        <v>59</v>
      </c>
      <c r="X9" t="s">
        <v>79</v>
      </c>
      <c r="Y9" t="s">
        <v>59</v>
      </c>
      <c r="Z9" t="s">
        <v>79</v>
      </c>
      <c r="AA9" t="s">
        <v>59</v>
      </c>
      <c r="AB9" t="s">
        <v>59</v>
      </c>
      <c r="AC9" t="s">
        <v>59</v>
      </c>
      <c r="AD9" t="s">
        <v>60</v>
      </c>
      <c r="AE9" t="s">
        <v>61</v>
      </c>
      <c r="AF9" t="s">
        <v>62</v>
      </c>
      <c r="AG9" t="s">
        <v>63</v>
      </c>
      <c r="AH9" t="s">
        <v>63</v>
      </c>
      <c r="AI9" t="s">
        <v>63</v>
      </c>
      <c r="AJ9" t="s">
        <v>82</v>
      </c>
      <c r="AK9" t="s">
        <v>63</v>
      </c>
      <c r="AL9" t="s">
        <v>66</v>
      </c>
      <c r="AM9" t="s">
        <v>67</v>
      </c>
      <c r="AN9" t="s">
        <v>68</v>
      </c>
      <c r="AO9" t="s">
        <v>63</v>
      </c>
      <c r="AP9" t="s">
        <v>110</v>
      </c>
      <c r="AQ9" t="s">
        <v>63</v>
      </c>
      <c r="AR9" s="25">
        <v>8</v>
      </c>
      <c r="AS9" t="s">
        <v>111</v>
      </c>
    </row>
    <row r="10" spans="1:45" x14ac:dyDescent="0.3">
      <c r="A10">
        <v>9</v>
      </c>
      <c r="B10" s="24">
        <v>46203.864918981482</v>
      </c>
      <c r="C10" s="24">
        <v>46203.879004629627</v>
      </c>
      <c r="D10" t="s">
        <v>45</v>
      </c>
      <c r="F10" s="1"/>
      <c r="G10" t="s">
        <v>46</v>
      </c>
      <c r="H10" t="s">
        <v>112</v>
      </c>
      <c r="I10" t="s">
        <v>113</v>
      </c>
      <c r="J10" t="s">
        <v>49</v>
      </c>
      <c r="K10" t="s">
        <v>97</v>
      </c>
      <c r="L10" t="s">
        <v>51</v>
      </c>
      <c r="M10" t="s">
        <v>51</v>
      </c>
      <c r="N10" t="s">
        <v>52</v>
      </c>
      <c r="O10" t="s">
        <v>53</v>
      </c>
      <c r="P10" t="s">
        <v>74</v>
      </c>
      <c r="Q10" t="s">
        <v>75</v>
      </c>
      <c r="R10" t="s">
        <v>76</v>
      </c>
      <c r="S10" t="s">
        <v>57</v>
      </c>
      <c r="T10" t="s">
        <v>58</v>
      </c>
      <c r="U10" t="s">
        <v>87</v>
      </c>
      <c r="V10" t="s">
        <v>79</v>
      </c>
      <c r="W10" t="s">
        <v>79</v>
      </c>
      <c r="X10" t="s">
        <v>87</v>
      </c>
      <c r="Y10" t="s">
        <v>59</v>
      </c>
      <c r="Z10" t="s">
        <v>79</v>
      </c>
      <c r="AA10" t="s">
        <v>79</v>
      </c>
      <c r="AB10" t="s">
        <v>79</v>
      </c>
      <c r="AC10" t="s">
        <v>79</v>
      </c>
      <c r="AD10" t="s">
        <v>60</v>
      </c>
      <c r="AE10" t="s">
        <v>61</v>
      </c>
      <c r="AF10" t="s">
        <v>62</v>
      </c>
      <c r="AG10" t="s">
        <v>63</v>
      </c>
      <c r="AH10" t="s">
        <v>63</v>
      </c>
      <c r="AI10" t="s">
        <v>63</v>
      </c>
      <c r="AJ10" t="s">
        <v>82</v>
      </c>
      <c r="AK10" t="s">
        <v>63</v>
      </c>
      <c r="AL10" t="s">
        <v>66</v>
      </c>
      <c r="AM10" t="s">
        <v>67</v>
      </c>
      <c r="AN10" t="s">
        <v>89</v>
      </c>
      <c r="AO10" t="s">
        <v>64</v>
      </c>
      <c r="AP10" t="s">
        <v>69</v>
      </c>
      <c r="AQ10" t="s">
        <v>63</v>
      </c>
      <c r="AR10" s="25">
        <v>9</v>
      </c>
      <c r="AS10" t="s">
        <v>114</v>
      </c>
    </row>
    <row r="11" spans="1:45" x14ac:dyDescent="0.3">
      <c r="A11">
        <v>10</v>
      </c>
      <c r="B11" s="24">
        <v>46203.872499999998</v>
      </c>
      <c r="C11" s="24">
        <v>46203.879965277774</v>
      </c>
      <c r="D11" t="s">
        <v>45</v>
      </c>
      <c r="F11" s="1"/>
      <c r="G11" t="s">
        <v>46</v>
      </c>
      <c r="H11" t="s">
        <v>47</v>
      </c>
      <c r="I11" t="s">
        <v>48</v>
      </c>
      <c r="J11" t="s">
        <v>49</v>
      </c>
      <c r="K11" t="s">
        <v>115</v>
      </c>
      <c r="L11" t="s">
        <v>51</v>
      </c>
      <c r="M11" t="s">
        <v>51</v>
      </c>
      <c r="N11" t="s">
        <v>116</v>
      </c>
      <c r="O11" t="s">
        <v>53</v>
      </c>
      <c r="P11" t="s">
        <v>74</v>
      </c>
      <c r="Q11" t="s">
        <v>75</v>
      </c>
      <c r="R11" t="s">
        <v>56</v>
      </c>
      <c r="S11" t="s">
        <v>57</v>
      </c>
      <c r="T11" t="s">
        <v>93</v>
      </c>
      <c r="U11" t="s">
        <v>59</v>
      </c>
      <c r="V11" t="s">
        <v>59</v>
      </c>
      <c r="W11" t="s">
        <v>59</v>
      </c>
      <c r="X11" t="s">
        <v>59</v>
      </c>
      <c r="Y11" t="s">
        <v>59</v>
      </c>
      <c r="Z11" t="s">
        <v>59</v>
      </c>
      <c r="AA11" t="s">
        <v>59</v>
      </c>
      <c r="AB11" t="s">
        <v>59</v>
      </c>
      <c r="AC11" t="s">
        <v>59</v>
      </c>
      <c r="AD11" t="s">
        <v>60</v>
      </c>
      <c r="AE11" t="s">
        <v>61</v>
      </c>
      <c r="AF11" t="s">
        <v>62</v>
      </c>
      <c r="AG11" t="s">
        <v>63</v>
      </c>
      <c r="AH11" t="s">
        <v>63</v>
      </c>
      <c r="AI11" t="s">
        <v>63</v>
      </c>
      <c r="AJ11" t="s">
        <v>65</v>
      </c>
      <c r="AK11" t="s">
        <v>63</v>
      </c>
      <c r="AL11" t="s">
        <v>102</v>
      </c>
      <c r="AM11" t="s">
        <v>67</v>
      </c>
      <c r="AN11" t="s">
        <v>89</v>
      </c>
      <c r="AO11" t="s">
        <v>63</v>
      </c>
      <c r="AP11" t="s">
        <v>69</v>
      </c>
      <c r="AQ11" t="s">
        <v>63</v>
      </c>
      <c r="AR11" s="25">
        <v>9</v>
      </c>
      <c r="AS11" t="s">
        <v>117</v>
      </c>
    </row>
    <row r="12" spans="1:45" x14ac:dyDescent="0.3">
      <c r="A12">
        <v>11</v>
      </c>
      <c r="B12" s="24">
        <v>46203.873761574076</v>
      </c>
      <c r="C12" s="24">
        <v>46203.88082175926</v>
      </c>
      <c r="D12" t="s">
        <v>45</v>
      </c>
      <c r="F12" s="1"/>
      <c r="G12" t="s">
        <v>46</v>
      </c>
      <c r="H12" t="s">
        <v>47</v>
      </c>
      <c r="I12" t="s">
        <v>48</v>
      </c>
      <c r="J12" t="s">
        <v>104</v>
      </c>
      <c r="K12" t="s">
        <v>118</v>
      </c>
      <c r="L12" t="s">
        <v>51</v>
      </c>
      <c r="M12" t="s">
        <v>51</v>
      </c>
      <c r="N12" t="s">
        <v>52</v>
      </c>
      <c r="O12" t="s">
        <v>53</v>
      </c>
      <c r="P12" t="s">
        <v>74</v>
      </c>
      <c r="Q12" t="s">
        <v>55</v>
      </c>
      <c r="R12" t="s">
        <v>76</v>
      </c>
      <c r="S12" t="s">
        <v>57</v>
      </c>
      <c r="T12" t="s">
        <v>58</v>
      </c>
      <c r="U12" t="s">
        <v>79</v>
      </c>
      <c r="V12" t="s">
        <v>59</v>
      </c>
      <c r="W12" t="s">
        <v>59</v>
      </c>
      <c r="X12" t="s">
        <v>59</v>
      </c>
      <c r="Y12" t="s">
        <v>59</v>
      </c>
      <c r="Z12" t="s">
        <v>79</v>
      </c>
      <c r="AA12" t="s">
        <v>79</v>
      </c>
      <c r="AB12" t="s">
        <v>59</v>
      </c>
      <c r="AC12" t="s">
        <v>79</v>
      </c>
      <c r="AD12" t="s">
        <v>60</v>
      </c>
      <c r="AE12" t="s">
        <v>61</v>
      </c>
      <c r="AF12" t="s">
        <v>119</v>
      </c>
      <c r="AG12" t="s">
        <v>63</v>
      </c>
      <c r="AH12" t="s">
        <v>63</v>
      </c>
      <c r="AI12" t="s">
        <v>63</v>
      </c>
      <c r="AJ12" t="s">
        <v>82</v>
      </c>
      <c r="AK12" t="s">
        <v>63</v>
      </c>
      <c r="AL12" t="s">
        <v>120</v>
      </c>
      <c r="AM12" t="s">
        <v>121</v>
      </c>
      <c r="AN12" t="s">
        <v>89</v>
      </c>
      <c r="AO12" t="s">
        <v>63</v>
      </c>
      <c r="AP12" t="s">
        <v>107</v>
      </c>
      <c r="AQ12" t="s">
        <v>63</v>
      </c>
      <c r="AR12" s="25">
        <v>9</v>
      </c>
      <c r="AS12" t="s">
        <v>122</v>
      </c>
    </row>
    <row r="13" spans="1:45" x14ac:dyDescent="0.3">
      <c r="A13">
        <v>12</v>
      </c>
      <c r="B13" s="24">
        <v>46203.868217592593</v>
      </c>
      <c r="C13" s="24">
        <v>46203.882743055554</v>
      </c>
      <c r="D13" t="s">
        <v>45</v>
      </c>
      <c r="F13" s="1"/>
      <c r="G13" t="s">
        <v>46</v>
      </c>
      <c r="H13" t="s">
        <v>112</v>
      </c>
      <c r="I13" t="s">
        <v>101</v>
      </c>
      <c r="J13" t="s">
        <v>49</v>
      </c>
      <c r="K13" t="s">
        <v>123</v>
      </c>
      <c r="L13" t="s">
        <v>51</v>
      </c>
      <c r="M13" t="s">
        <v>51</v>
      </c>
      <c r="N13" t="s">
        <v>116</v>
      </c>
      <c r="O13" t="s">
        <v>53</v>
      </c>
      <c r="P13" t="s">
        <v>54</v>
      </c>
      <c r="Q13" t="s">
        <v>55</v>
      </c>
      <c r="R13" t="s">
        <v>56</v>
      </c>
      <c r="S13" t="s">
        <v>57</v>
      </c>
      <c r="T13" t="s">
        <v>93</v>
      </c>
      <c r="U13" t="s">
        <v>79</v>
      </c>
      <c r="V13" t="s">
        <v>79</v>
      </c>
      <c r="W13" t="s">
        <v>59</v>
      </c>
      <c r="X13" t="s">
        <v>59</v>
      </c>
      <c r="Y13" t="s">
        <v>59</v>
      </c>
      <c r="Z13" t="s">
        <v>59</v>
      </c>
      <c r="AA13" t="s">
        <v>59</v>
      </c>
      <c r="AB13" t="s">
        <v>59</v>
      </c>
      <c r="AC13" t="s">
        <v>59</v>
      </c>
      <c r="AD13" t="s">
        <v>60</v>
      </c>
      <c r="AE13" t="s">
        <v>61</v>
      </c>
      <c r="AF13" t="s">
        <v>62</v>
      </c>
      <c r="AG13" t="s">
        <v>63</v>
      </c>
      <c r="AH13" t="s">
        <v>63</v>
      </c>
      <c r="AI13" t="s">
        <v>64</v>
      </c>
      <c r="AJ13" t="s">
        <v>65</v>
      </c>
      <c r="AK13" t="s">
        <v>64</v>
      </c>
      <c r="AL13" t="s">
        <v>120</v>
      </c>
      <c r="AM13" t="s">
        <v>67</v>
      </c>
      <c r="AN13" t="s">
        <v>68</v>
      </c>
      <c r="AO13" t="s">
        <v>63</v>
      </c>
      <c r="AP13" t="s">
        <v>69</v>
      </c>
      <c r="AQ13" t="s">
        <v>63</v>
      </c>
      <c r="AR13" s="25">
        <v>10</v>
      </c>
      <c r="AS13" t="s">
        <v>124</v>
      </c>
    </row>
    <row r="14" spans="1:45" x14ac:dyDescent="0.3">
      <c r="A14">
        <v>13</v>
      </c>
      <c r="B14" s="24">
        <v>46203.872708333336</v>
      </c>
      <c r="C14" s="24">
        <v>46203.885462962964</v>
      </c>
      <c r="D14" t="s">
        <v>45</v>
      </c>
      <c r="F14" s="1"/>
      <c r="G14" t="s">
        <v>46</v>
      </c>
      <c r="H14" t="s">
        <v>47</v>
      </c>
      <c r="I14" t="s">
        <v>48</v>
      </c>
      <c r="J14" t="s">
        <v>125</v>
      </c>
      <c r="K14" t="s">
        <v>126</v>
      </c>
      <c r="L14" t="s">
        <v>51</v>
      </c>
      <c r="M14" t="s">
        <v>73</v>
      </c>
      <c r="N14" t="s">
        <v>52</v>
      </c>
      <c r="O14" t="s">
        <v>53</v>
      </c>
      <c r="P14" t="s">
        <v>54</v>
      </c>
      <c r="Q14" t="s">
        <v>55</v>
      </c>
      <c r="R14" t="s">
        <v>56</v>
      </c>
      <c r="S14" t="s">
        <v>57</v>
      </c>
      <c r="T14" t="s">
        <v>58</v>
      </c>
      <c r="U14" t="s">
        <v>86</v>
      </c>
      <c r="V14" t="s">
        <v>59</v>
      </c>
      <c r="W14" t="s">
        <v>59</v>
      </c>
      <c r="X14" t="s">
        <v>59</v>
      </c>
      <c r="Y14" t="s">
        <v>59</v>
      </c>
      <c r="Z14" t="s">
        <v>59</v>
      </c>
      <c r="AA14" t="s">
        <v>59</v>
      </c>
      <c r="AB14" t="s">
        <v>59</v>
      </c>
      <c r="AC14" t="s">
        <v>59</v>
      </c>
      <c r="AD14" t="s">
        <v>60</v>
      </c>
      <c r="AE14" t="s">
        <v>94</v>
      </c>
      <c r="AF14" t="s">
        <v>119</v>
      </c>
      <c r="AG14" t="s">
        <v>64</v>
      </c>
      <c r="AH14" t="s">
        <v>64</v>
      </c>
      <c r="AI14" t="s">
        <v>64</v>
      </c>
      <c r="AJ14" t="s">
        <v>65</v>
      </c>
      <c r="AK14" t="s">
        <v>64</v>
      </c>
      <c r="AL14" t="s">
        <v>120</v>
      </c>
      <c r="AM14" t="s">
        <v>67</v>
      </c>
      <c r="AN14" t="s">
        <v>89</v>
      </c>
      <c r="AO14" t="s">
        <v>64</v>
      </c>
      <c r="AP14" t="s">
        <v>110</v>
      </c>
      <c r="AQ14" t="s">
        <v>64</v>
      </c>
      <c r="AR14" s="25">
        <v>10</v>
      </c>
      <c r="AS14" t="s">
        <v>127</v>
      </c>
    </row>
    <row r="15" spans="1:45" x14ac:dyDescent="0.3">
      <c r="A15">
        <v>14</v>
      </c>
      <c r="B15" s="24">
        <v>46203.884988425925</v>
      </c>
      <c r="C15" s="24">
        <v>46203.888796296298</v>
      </c>
      <c r="D15" t="s">
        <v>45</v>
      </c>
      <c r="F15" s="1"/>
      <c r="G15" t="s">
        <v>100</v>
      </c>
      <c r="H15" t="s">
        <v>47</v>
      </c>
      <c r="I15" t="s">
        <v>48</v>
      </c>
      <c r="J15" t="s">
        <v>49</v>
      </c>
      <c r="K15" t="s">
        <v>128</v>
      </c>
      <c r="L15" t="s">
        <v>51</v>
      </c>
      <c r="M15" t="s">
        <v>51</v>
      </c>
      <c r="N15" t="s">
        <v>52</v>
      </c>
      <c r="O15" t="s">
        <v>53</v>
      </c>
      <c r="P15" t="s">
        <v>54</v>
      </c>
      <c r="Q15" t="s">
        <v>55</v>
      </c>
      <c r="R15" t="s">
        <v>56</v>
      </c>
      <c r="S15" t="s">
        <v>57</v>
      </c>
      <c r="T15" t="s">
        <v>58</v>
      </c>
      <c r="U15" t="s">
        <v>79</v>
      </c>
      <c r="V15" t="s">
        <v>79</v>
      </c>
      <c r="W15" t="s">
        <v>87</v>
      </c>
      <c r="X15" t="s">
        <v>87</v>
      </c>
      <c r="Y15" t="s">
        <v>79</v>
      </c>
      <c r="Z15" t="s">
        <v>87</v>
      </c>
      <c r="AA15" t="s">
        <v>79</v>
      </c>
      <c r="AB15" t="s">
        <v>59</v>
      </c>
      <c r="AC15" t="s">
        <v>59</v>
      </c>
      <c r="AD15" t="s">
        <v>60</v>
      </c>
      <c r="AE15" t="s">
        <v>61</v>
      </c>
      <c r="AF15" t="s">
        <v>62</v>
      </c>
      <c r="AG15" t="s">
        <v>81</v>
      </c>
      <c r="AH15" t="s">
        <v>63</v>
      </c>
      <c r="AI15" t="s">
        <v>63</v>
      </c>
      <c r="AJ15" t="s">
        <v>65</v>
      </c>
      <c r="AK15" t="s">
        <v>63</v>
      </c>
      <c r="AL15" t="s">
        <v>66</v>
      </c>
      <c r="AM15" t="s">
        <v>67</v>
      </c>
      <c r="AN15" t="s">
        <v>68</v>
      </c>
      <c r="AO15" t="s">
        <v>63</v>
      </c>
      <c r="AP15" t="s">
        <v>69</v>
      </c>
      <c r="AQ15" t="s">
        <v>63</v>
      </c>
      <c r="AR15" s="25">
        <v>9</v>
      </c>
      <c r="AS15" t="s">
        <v>129</v>
      </c>
    </row>
    <row r="16" spans="1:45" x14ac:dyDescent="0.3">
      <c r="A16">
        <v>15</v>
      </c>
      <c r="B16" s="24">
        <v>46203.880810185183</v>
      </c>
      <c r="C16" s="24">
        <v>46203.889074074075</v>
      </c>
      <c r="D16" t="s">
        <v>45</v>
      </c>
      <c r="F16" s="1"/>
      <c r="G16" t="s">
        <v>100</v>
      </c>
      <c r="H16" t="s">
        <v>47</v>
      </c>
      <c r="I16" t="s">
        <v>48</v>
      </c>
      <c r="J16" t="s">
        <v>49</v>
      </c>
      <c r="K16" t="s">
        <v>128</v>
      </c>
      <c r="L16" t="s">
        <v>51</v>
      </c>
      <c r="M16" t="s">
        <v>51</v>
      </c>
      <c r="N16" t="s">
        <v>52</v>
      </c>
      <c r="O16" t="s">
        <v>53</v>
      </c>
      <c r="P16" t="s">
        <v>54</v>
      </c>
      <c r="Q16" t="s">
        <v>55</v>
      </c>
      <c r="R16" t="s">
        <v>56</v>
      </c>
      <c r="S16" t="s">
        <v>57</v>
      </c>
      <c r="T16" t="s">
        <v>58</v>
      </c>
      <c r="U16" t="s">
        <v>79</v>
      </c>
      <c r="V16" t="s">
        <v>79</v>
      </c>
      <c r="W16" t="s">
        <v>87</v>
      </c>
      <c r="X16" t="s">
        <v>87</v>
      </c>
      <c r="Y16" t="s">
        <v>79</v>
      </c>
      <c r="Z16" t="s">
        <v>87</v>
      </c>
      <c r="AA16" t="s">
        <v>79</v>
      </c>
      <c r="AB16" t="s">
        <v>59</v>
      </c>
      <c r="AC16" t="s">
        <v>59</v>
      </c>
      <c r="AD16" t="s">
        <v>60</v>
      </c>
      <c r="AE16" t="s">
        <v>61</v>
      </c>
      <c r="AF16" t="s">
        <v>62</v>
      </c>
      <c r="AG16" t="s">
        <v>81</v>
      </c>
      <c r="AH16" t="s">
        <v>63</v>
      </c>
      <c r="AI16" t="s">
        <v>63</v>
      </c>
      <c r="AJ16" t="s">
        <v>65</v>
      </c>
      <c r="AK16" t="s">
        <v>63</v>
      </c>
      <c r="AL16" t="s">
        <v>66</v>
      </c>
      <c r="AM16" t="s">
        <v>67</v>
      </c>
      <c r="AN16" t="s">
        <v>68</v>
      </c>
      <c r="AO16" t="s">
        <v>63</v>
      </c>
      <c r="AP16" t="s">
        <v>69</v>
      </c>
      <c r="AQ16" t="s">
        <v>63</v>
      </c>
      <c r="AR16" s="25">
        <v>9</v>
      </c>
      <c r="AS16" t="s">
        <v>130</v>
      </c>
    </row>
    <row r="17" spans="1:45" x14ac:dyDescent="0.3">
      <c r="A17">
        <v>16</v>
      </c>
      <c r="B17" s="24">
        <v>46203.88554398148</v>
      </c>
      <c r="C17" s="24">
        <v>46203.891030092593</v>
      </c>
      <c r="D17" t="s">
        <v>45</v>
      </c>
      <c r="F17" s="1"/>
      <c r="G17" t="s">
        <v>46</v>
      </c>
      <c r="H17" t="s">
        <v>47</v>
      </c>
      <c r="I17" t="s">
        <v>48</v>
      </c>
      <c r="J17" t="s">
        <v>49</v>
      </c>
      <c r="K17" t="s">
        <v>109</v>
      </c>
      <c r="L17" t="s">
        <v>73</v>
      </c>
      <c r="M17" t="s">
        <v>51</v>
      </c>
      <c r="N17" t="s">
        <v>52</v>
      </c>
      <c r="O17" t="s">
        <v>53</v>
      </c>
      <c r="P17" t="s">
        <v>74</v>
      </c>
      <c r="Q17" t="s">
        <v>75</v>
      </c>
      <c r="R17" t="s">
        <v>76</v>
      </c>
      <c r="S17" t="s">
        <v>77</v>
      </c>
      <c r="T17" t="s">
        <v>58</v>
      </c>
      <c r="U17" t="s">
        <v>79</v>
      </c>
      <c r="V17" t="s">
        <v>79</v>
      </c>
      <c r="W17" t="s">
        <v>59</v>
      </c>
      <c r="X17" t="s">
        <v>59</v>
      </c>
      <c r="Y17" t="s">
        <v>59</v>
      </c>
      <c r="Z17" t="s">
        <v>59</v>
      </c>
      <c r="AA17" t="s">
        <v>79</v>
      </c>
      <c r="AB17" t="s">
        <v>59</v>
      </c>
      <c r="AC17" t="s">
        <v>87</v>
      </c>
      <c r="AD17" t="s">
        <v>60</v>
      </c>
      <c r="AE17" t="s">
        <v>61</v>
      </c>
      <c r="AF17" t="s">
        <v>62</v>
      </c>
      <c r="AG17" t="s">
        <v>63</v>
      </c>
      <c r="AH17" t="s">
        <v>63</v>
      </c>
      <c r="AI17" t="s">
        <v>63</v>
      </c>
      <c r="AJ17" t="s">
        <v>65</v>
      </c>
      <c r="AK17" t="s">
        <v>63</v>
      </c>
      <c r="AL17" t="s">
        <v>66</v>
      </c>
      <c r="AM17" t="s">
        <v>67</v>
      </c>
      <c r="AN17" t="s">
        <v>68</v>
      </c>
      <c r="AO17" t="s">
        <v>63</v>
      </c>
      <c r="AP17" t="s">
        <v>69</v>
      </c>
      <c r="AQ17" t="s">
        <v>63</v>
      </c>
      <c r="AR17" s="25">
        <v>9</v>
      </c>
      <c r="AS17" t="s">
        <v>131</v>
      </c>
    </row>
    <row r="18" spans="1:45" x14ac:dyDescent="0.3">
      <c r="A18">
        <v>17</v>
      </c>
      <c r="B18" s="24">
        <v>46203.889745370368</v>
      </c>
      <c r="C18" s="24">
        <v>46203.895729166667</v>
      </c>
      <c r="D18" t="s">
        <v>45</v>
      </c>
      <c r="F18" s="1"/>
      <c r="G18" t="s">
        <v>46</v>
      </c>
      <c r="H18" t="s">
        <v>47</v>
      </c>
      <c r="I18" t="s">
        <v>48</v>
      </c>
      <c r="J18" t="s">
        <v>49</v>
      </c>
      <c r="K18" t="s">
        <v>109</v>
      </c>
      <c r="L18" t="s">
        <v>73</v>
      </c>
      <c r="M18" t="s">
        <v>73</v>
      </c>
      <c r="N18" t="s">
        <v>52</v>
      </c>
      <c r="O18" t="s">
        <v>53</v>
      </c>
      <c r="P18" t="s">
        <v>74</v>
      </c>
      <c r="Q18" t="s">
        <v>75</v>
      </c>
      <c r="R18" t="s">
        <v>76</v>
      </c>
      <c r="S18" t="s">
        <v>77</v>
      </c>
      <c r="T18" t="s">
        <v>58</v>
      </c>
      <c r="U18" t="s">
        <v>87</v>
      </c>
      <c r="V18" t="s">
        <v>79</v>
      </c>
      <c r="W18" t="s">
        <v>59</v>
      </c>
      <c r="X18" t="s">
        <v>59</v>
      </c>
      <c r="Y18" t="s">
        <v>59</v>
      </c>
      <c r="Z18" t="s">
        <v>59</v>
      </c>
      <c r="AA18" t="s">
        <v>59</v>
      </c>
      <c r="AB18" t="s">
        <v>59</v>
      </c>
      <c r="AC18" t="s">
        <v>59</v>
      </c>
      <c r="AD18" t="s">
        <v>60</v>
      </c>
      <c r="AE18" t="s">
        <v>61</v>
      </c>
      <c r="AF18" t="s">
        <v>62</v>
      </c>
      <c r="AG18" t="s">
        <v>63</v>
      </c>
      <c r="AH18" t="s">
        <v>63</v>
      </c>
      <c r="AI18" t="s">
        <v>63</v>
      </c>
      <c r="AJ18" t="s">
        <v>82</v>
      </c>
      <c r="AK18" t="s">
        <v>63</v>
      </c>
      <c r="AL18" t="s">
        <v>66</v>
      </c>
      <c r="AM18" t="s">
        <v>121</v>
      </c>
      <c r="AN18" t="s">
        <v>89</v>
      </c>
      <c r="AO18" t="s">
        <v>63</v>
      </c>
      <c r="AP18" t="s">
        <v>69</v>
      </c>
      <c r="AQ18" t="s">
        <v>63</v>
      </c>
      <c r="AR18" s="25">
        <v>9</v>
      </c>
      <c r="AS18" t="s">
        <v>132</v>
      </c>
    </row>
    <row r="19" spans="1:45" x14ac:dyDescent="0.3">
      <c r="A19">
        <v>18</v>
      </c>
      <c r="B19" s="24">
        <v>46203.897789351853</v>
      </c>
      <c r="C19" s="24">
        <v>46203.911944444444</v>
      </c>
      <c r="D19" t="s">
        <v>45</v>
      </c>
      <c r="F19" s="1"/>
      <c r="G19" t="s">
        <v>46</v>
      </c>
      <c r="H19" t="s">
        <v>47</v>
      </c>
      <c r="I19" t="s">
        <v>133</v>
      </c>
      <c r="J19" t="s">
        <v>49</v>
      </c>
      <c r="K19" t="s">
        <v>134</v>
      </c>
      <c r="L19" t="s">
        <v>51</v>
      </c>
      <c r="M19" t="s">
        <v>51</v>
      </c>
      <c r="N19" t="s">
        <v>52</v>
      </c>
      <c r="O19" t="s">
        <v>53</v>
      </c>
      <c r="P19" t="s">
        <v>74</v>
      </c>
      <c r="Q19" t="s">
        <v>75</v>
      </c>
      <c r="R19" t="s">
        <v>76</v>
      </c>
      <c r="S19" t="s">
        <v>57</v>
      </c>
      <c r="T19" t="s">
        <v>78</v>
      </c>
      <c r="U19" t="s">
        <v>86</v>
      </c>
      <c r="V19" t="s">
        <v>79</v>
      </c>
      <c r="W19" t="s">
        <v>86</v>
      </c>
      <c r="X19" t="s">
        <v>86</v>
      </c>
      <c r="Y19" t="s">
        <v>59</v>
      </c>
      <c r="Z19" t="s">
        <v>59</v>
      </c>
      <c r="AA19" t="s">
        <v>86</v>
      </c>
      <c r="AB19" t="s">
        <v>86</v>
      </c>
      <c r="AC19" t="s">
        <v>86</v>
      </c>
      <c r="AD19" t="s">
        <v>60</v>
      </c>
      <c r="AE19" t="s">
        <v>61</v>
      </c>
      <c r="AF19" t="s">
        <v>62</v>
      </c>
      <c r="AG19" t="s">
        <v>81</v>
      </c>
      <c r="AH19" t="s">
        <v>63</v>
      </c>
      <c r="AI19" t="s">
        <v>81</v>
      </c>
      <c r="AJ19" t="s">
        <v>82</v>
      </c>
      <c r="AK19" t="s">
        <v>81</v>
      </c>
      <c r="AL19" t="s">
        <v>66</v>
      </c>
      <c r="AM19" t="s">
        <v>67</v>
      </c>
      <c r="AN19" t="s">
        <v>89</v>
      </c>
      <c r="AO19" t="s">
        <v>63</v>
      </c>
      <c r="AP19" t="s">
        <v>69</v>
      </c>
      <c r="AQ19" t="s">
        <v>81</v>
      </c>
      <c r="AR19" s="25">
        <v>8</v>
      </c>
      <c r="AS19" t="s">
        <v>135</v>
      </c>
    </row>
    <row r="20" spans="1:45" x14ac:dyDescent="0.3">
      <c r="A20">
        <v>19</v>
      </c>
      <c r="B20" s="24">
        <v>46203.919444444444</v>
      </c>
      <c r="C20" s="24">
        <v>46203.92931712963</v>
      </c>
      <c r="D20" t="s">
        <v>45</v>
      </c>
      <c r="F20" s="1"/>
      <c r="G20" t="s">
        <v>46</v>
      </c>
      <c r="H20" t="s">
        <v>47</v>
      </c>
      <c r="I20" t="s">
        <v>101</v>
      </c>
      <c r="J20" t="s">
        <v>49</v>
      </c>
      <c r="K20" t="s">
        <v>136</v>
      </c>
      <c r="L20" t="s">
        <v>73</v>
      </c>
      <c r="M20" t="s">
        <v>73</v>
      </c>
      <c r="N20" t="s">
        <v>52</v>
      </c>
      <c r="O20" t="s">
        <v>53</v>
      </c>
      <c r="P20" t="s">
        <v>74</v>
      </c>
      <c r="Q20" t="s">
        <v>75</v>
      </c>
      <c r="R20" t="s">
        <v>76</v>
      </c>
      <c r="S20" t="s">
        <v>77</v>
      </c>
      <c r="T20" t="s">
        <v>78</v>
      </c>
      <c r="U20" t="s">
        <v>86</v>
      </c>
      <c r="V20" t="s">
        <v>87</v>
      </c>
      <c r="W20" t="s">
        <v>86</v>
      </c>
      <c r="X20" t="s">
        <v>87</v>
      </c>
      <c r="Y20" t="s">
        <v>59</v>
      </c>
      <c r="Z20" t="s">
        <v>59</v>
      </c>
      <c r="AA20" t="s">
        <v>86</v>
      </c>
      <c r="AB20" t="s">
        <v>86</v>
      </c>
      <c r="AC20" t="s">
        <v>86</v>
      </c>
      <c r="AD20" t="s">
        <v>60</v>
      </c>
      <c r="AE20" t="s">
        <v>61</v>
      </c>
      <c r="AF20" t="s">
        <v>62</v>
      </c>
      <c r="AG20" t="s">
        <v>137</v>
      </c>
      <c r="AH20" t="s">
        <v>63</v>
      </c>
      <c r="AI20" t="s">
        <v>81</v>
      </c>
      <c r="AJ20" t="s">
        <v>138</v>
      </c>
      <c r="AK20" t="s">
        <v>81</v>
      </c>
      <c r="AL20" t="s">
        <v>66</v>
      </c>
      <c r="AM20" t="s">
        <v>67</v>
      </c>
      <c r="AN20" t="s">
        <v>89</v>
      </c>
      <c r="AO20" t="s">
        <v>63</v>
      </c>
      <c r="AP20" t="s">
        <v>98</v>
      </c>
      <c r="AQ20" t="s">
        <v>81</v>
      </c>
      <c r="AR20" s="25">
        <v>8</v>
      </c>
      <c r="AS20" t="s">
        <v>139</v>
      </c>
    </row>
    <row r="21" spans="1:45" x14ac:dyDescent="0.3">
      <c r="A21">
        <v>20</v>
      </c>
      <c r="B21" s="24">
        <v>46203.933449074073</v>
      </c>
      <c r="C21" s="24">
        <v>46203.94158564815</v>
      </c>
      <c r="D21" t="s">
        <v>45</v>
      </c>
      <c r="F21" s="1"/>
      <c r="G21" t="s">
        <v>46</v>
      </c>
      <c r="H21" t="s">
        <v>47</v>
      </c>
      <c r="I21" t="s">
        <v>48</v>
      </c>
      <c r="J21" t="s">
        <v>140</v>
      </c>
      <c r="K21" t="s">
        <v>109</v>
      </c>
      <c r="L21" t="s">
        <v>51</v>
      </c>
      <c r="M21" t="s">
        <v>51</v>
      </c>
      <c r="N21" t="s">
        <v>52</v>
      </c>
      <c r="O21" t="s">
        <v>53</v>
      </c>
      <c r="P21" t="s">
        <v>54</v>
      </c>
      <c r="Q21" t="s">
        <v>55</v>
      </c>
      <c r="R21" t="s">
        <v>56</v>
      </c>
      <c r="S21" t="s">
        <v>57</v>
      </c>
      <c r="T21" t="s">
        <v>93</v>
      </c>
      <c r="U21" t="s">
        <v>59</v>
      </c>
      <c r="V21" t="s">
        <v>79</v>
      </c>
      <c r="W21" t="s">
        <v>59</v>
      </c>
      <c r="X21" t="s">
        <v>59</v>
      </c>
      <c r="Y21" t="s">
        <v>59</v>
      </c>
      <c r="Z21" t="s">
        <v>59</v>
      </c>
      <c r="AA21" t="s">
        <v>59</v>
      </c>
      <c r="AB21" t="s">
        <v>59</v>
      </c>
      <c r="AC21" t="s">
        <v>59</v>
      </c>
      <c r="AD21" t="s">
        <v>60</v>
      </c>
      <c r="AE21" t="s">
        <v>61</v>
      </c>
      <c r="AF21" t="s">
        <v>62</v>
      </c>
      <c r="AG21" t="s">
        <v>63</v>
      </c>
      <c r="AH21" t="s">
        <v>64</v>
      </c>
      <c r="AI21" t="s">
        <v>64</v>
      </c>
      <c r="AJ21" t="s">
        <v>65</v>
      </c>
      <c r="AK21" t="s">
        <v>64</v>
      </c>
      <c r="AL21" t="s">
        <v>120</v>
      </c>
      <c r="AM21" t="s">
        <v>67</v>
      </c>
      <c r="AN21" t="s">
        <v>89</v>
      </c>
      <c r="AO21" t="s">
        <v>64</v>
      </c>
      <c r="AP21" t="s">
        <v>69</v>
      </c>
      <c r="AQ21" t="s">
        <v>64</v>
      </c>
      <c r="AR21" s="25">
        <v>9</v>
      </c>
      <c r="AS21" t="s">
        <v>141</v>
      </c>
    </row>
    <row r="22" spans="1:45" x14ac:dyDescent="0.3">
      <c r="A22">
        <v>21</v>
      </c>
      <c r="B22" s="24">
        <v>46204.208506944444</v>
      </c>
      <c r="C22" s="24">
        <v>46204.212268518517</v>
      </c>
      <c r="D22" t="s">
        <v>45</v>
      </c>
      <c r="F22" s="1"/>
      <c r="G22" t="s">
        <v>46</v>
      </c>
      <c r="H22" t="s">
        <v>112</v>
      </c>
      <c r="I22" t="s">
        <v>48</v>
      </c>
      <c r="J22" t="s">
        <v>49</v>
      </c>
      <c r="K22" t="s">
        <v>142</v>
      </c>
      <c r="L22" t="s">
        <v>73</v>
      </c>
      <c r="M22" t="s">
        <v>73</v>
      </c>
      <c r="N22" t="s">
        <v>52</v>
      </c>
      <c r="O22" t="s">
        <v>53</v>
      </c>
      <c r="P22" t="s">
        <v>54</v>
      </c>
      <c r="Q22" t="s">
        <v>55</v>
      </c>
      <c r="R22" t="s">
        <v>56</v>
      </c>
      <c r="S22" t="s">
        <v>77</v>
      </c>
      <c r="T22" t="s">
        <v>93</v>
      </c>
      <c r="U22" t="s">
        <v>87</v>
      </c>
      <c r="V22" t="s">
        <v>59</v>
      </c>
      <c r="W22" t="s">
        <v>59</v>
      </c>
      <c r="X22" t="s">
        <v>59</v>
      </c>
      <c r="Y22" t="s">
        <v>59</v>
      </c>
      <c r="Z22" t="s">
        <v>59</v>
      </c>
      <c r="AA22" t="s">
        <v>59</v>
      </c>
      <c r="AB22" t="s">
        <v>59</v>
      </c>
      <c r="AC22" t="s">
        <v>59</v>
      </c>
      <c r="AD22" t="s">
        <v>60</v>
      </c>
      <c r="AE22" t="s">
        <v>61</v>
      </c>
      <c r="AF22" t="s">
        <v>62</v>
      </c>
      <c r="AG22" t="s">
        <v>63</v>
      </c>
      <c r="AH22" t="s">
        <v>63</v>
      </c>
      <c r="AI22" t="s">
        <v>63</v>
      </c>
      <c r="AJ22" t="s">
        <v>82</v>
      </c>
      <c r="AK22" t="s">
        <v>63</v>
      </c>
      <c r="AL22" t="s">
        <v>120</v>
      </c>
      <c r="AM22" t="s">
        <v>67</v>
      </c>
      <c r="AN22" t="s">
        <v>68</v>
      </c>
      <c r="AO22" t="s">
        <v>81</v>
      </c>
      <c r="AP22" t="s">
        <v>69</v>
      </c>
      <c r="AQ22" t="s">
        <v>63</v>
      </c>
      <c r="AR22" s="25">
        <v>10</v>
      </c>
      <c r="AS22" t="s">
        <v>95</v>
      </c>
    </row>
    <row r="23" spans="1:45" x14ac:dyDescent="0.3">
      <c r="A23">
        <v>22</v>
      </c>
      <c r="B23" s="24">
        <v>46204.212604166663</v>
      </c>
      <c r="C23" s="24">
        <v>46204.214780092596</v>
      </c>
      <c r="D23" t="s">
        <v>45</v>
      </c>
      <c r="F23" s="1"/>
      <c r="G23" t="s">
        <v>46</v>
      </c>
      <c r="H23" t="s">
        <v>112</v>
      </c>
      <c r="I23" t="s">
        <v>48</v>
      </c>
      <c r="J23" t="s">
        <v>49</v>
      </c>
      <c r="K23" t="s">
        <v>143</v>
      </c>
      <c r="L23" t="s">
        <v>51</v>
      </c>
      <c r="M23" t="s">
        <v>51</v>
      </c>
      <c r="N23" t="s">
        <v>116</v>
      </c>
      <c r="O23" t="s">
        <v>53</v>
      </c>
      <c r="P23" t="s">
        <v>54</v>
      </c>
      <c r="Q23" t="s">
        <v>55</v>
      </c>
      <c r="R23" t="s">
        <v>56</v>
      </c>
      <c r="S23" t="s">
        <v>57</v>
      </c>
      <c r="T23" t="s">
        <v>93</v>
      </c>
      <c r="U23" t="s">
        <v>59</v>
      </c>
      <c r="V23" t="s">
        <v>59</v>
      </c>
      <c r="W23" t="s">
        <v>59</v>
      </c>
      <c r="X23" t="s">
        <v>59</v>
      </c>
      <c r="Y23" t="s">
        <v>59</v>
      </c>
      <c r="Z23" t="s">
        <v>59</v>
      </c>
      <c r="AA23" t="s">
        <v>59</v>
      </c>
      <c r="AB23" t="s">
        <v>59</v>
      </c>
      <c r="AC23" t="s">
        <v>59</v>
      </c>
      <c r="AD23" t="s">
        <v>60</v>
      </c>
      <c r="AE23" t="s">
        <v>94</v>
      </c>
      <c r="AF23" t="s">
        <v>119</v>
      </c>
      <c r="AG23" t="s">
        <v>64</v>
      </c>
      <c r="AH23" t="s">
        <v>64</v>
      </c>
      <c r="AI23" t="s">
        <v>63</v>
      </c>
      <c r="AJ23" t="s">
        <v>82</v>
      </c>
      <c r="AK23" t="s">
        <v>63</v>
      </c>
      <c r="AL23" t="s">
        <v>102</v>
      </c>
      <c r="AM23" t="s">
        <v>67</v>
      </c>
      <c r="AN23" t="s">
        <v>68</v>
      </c>
      <c r="AO23" t="s">
        <v>63</v>
      </c>
      <c r="AP23" t="s">
        <v>69</v>
      </c>
      <c r="AQ23" t="s">
        <v>63</v>
      </c>
      <c r="AR23" s="25">
        <v>10</v>
      </c>
      <c r="AS23" t="s">
        <v>144</v>
      </c>
    </row>
    <row r="24" spans="1:45" x14ac:dyDescent="0.3">
      <c r="A24">
        <v>23</v>
      </c>
      <c r="B24" s="24">
        <v>46204.315057870372</v>
      </c>
      <c r="C24" s="24">
        <v>46204.330543981479</v>
      </c>
      <c r="D24" t="s">
        <v>45</v>
      </c>
      <c r="F24" s="1"/>
      <c r="G24" t="s">
        <v>100</v>
      </c>
      <c r="H24" t="s">
        <v>91</v>
      </c>
      <c r="I24" t="s">
        <v>48</v>
      </c>
      <c r="J24" t="s">
        <v>49</v>
      </c>
      <c r="K24" t="s">
        <v>145</v>
      </c>
      <c r="L24" t="s">
        <v>146</v>
      </c>
      <c r="M24" t="s">
        <v>146</v>
      </c>
      <c r="N24" t="s">
        <v>52</v>
      </c>
      <c r="O24" t="s">
        <v>53</v>
      </c>
      <c r="P24" t="s">
        <v>74</v>
      </c>
      <c r="Q24" t="s">
        <v>75</v>
      </c>
      <c r="R24" t="s">
        <v>76</v>
      </c>
      <c r="S24" t="s">
        <v>77</v>
      </c>
      <c r="T24" t="s">
        <v>58</v>
      </c>
      <c r="U24" t="s">
        <v>87</v>
      </c>
      <c r="V24" t="s">
        <v>59</v>
      </c>
      <c r="W24" t="s">
        <v>59</v>
      </c>
      <c r="X24" t="s">
        <v>59</v>
      </c>
      <c r="Y24" t="s">
        <v>59</v>
      </c>
      <c r="Z24" t="s">
        <v>87</v>
      </c>
      <c r="AA24" t="s">
        <v>79</v>
      </c>
      <c r="AB24" t="s">
        <v>79</v>
      </c>
      <c r="AC24" t="s">
        <v>79</v>
      </c>
      <c r="AD24" t="s">
        <v>80</v>
      </c>
      <c r="AE24" t="s">
        <v>61</v>
      </c>
      <c r="AF24" t="s">
        <v>147</v>
      </c>
      <c r="AG24" t="s">
        <v>63</v>
      </c>
      <c r="AH24" t="s">
        <v>63</v>
      </c>
      <c r="AI24" t="s">
        <v>63</v>
      </c>
      <c r="AJ24" t="s">
        <v>82</v>
      </c>
      <c r="AK24" t="s">
        <v>63</v>
      </c>
      <c r="AL24" t="s">
        <v>66</v>
      </c>
      <c r="AM24" t="s">
        <v>137</v>
      </c>
      <c r="AN24" t="s">
        <v>89</v>
      </c>
      <c r="AO24" t="s">
        <v>63</v>
      </c>
      <c r="AP24" t="s">
        <v>107</v>
      </c>
      <c r="AQ24" t="s">
        <v>63</v>
      </c>
      <c r="AR24" s="25">
        <v>8</v>
      </c>
      <c r="AS24" t="s">
        <v>148</v>
      </c>
    </row>
    <row r="25" spans="1:45" x14ac:dyDescent="0.3">
      <c r="A25">
        <v>24</v>
      </c>
      <c r="B25" s="24">
        <v>46204.332361111112</v>
      </c>
      <c r="C25" s="24">
        <v>46204.333275462966</v>
      </c>
      <c r="D25" t="s">
        <v>45</v>
      </c>
      <c r="F25" s="1"/>
      <c r="G25" t="s">
        <v>46</v>
      </c>
      <c r="H25" t="s">
        <v>112</v>
      </c>
      <c r="I25" t="s">
        <v>48</v>
      </c>
      <c r="J25" t="s">
        <v>104</v>
      </c>
      <c r="K25" t="s">
        <v>149</v>
      </c>
      <c r="L25" t="s">
        <v>51</v>
      </c>
      <c r="M25" t="s">
        <v>73</v>
      </c>
      <c r="N25" t="s">
        <v>52</v>
      </c>
      <c r="O25" t="s">
        <v>53</v>
      </c>
      <c r="P25" t="s">
        <v>74</v>
      </c>
      <c r="Q25" t="s">
        <v>75</v>
      </c>
      <c r="R25" t="s">
        <v>76</v>
      </c>
      <c r="S25" t="s">
        <v>57</v>
      </c>
      <c r="T25" t="s">
        <v>58</v>
      </c>
      <c r="U25" t="s">
        <v>87</v>
      </c>
      <c r="V25" t="s">
        <v>59</v>
      </c>
      <c r="W25" t="s">
        <v>79</v>
      </c>
      <c r="X25" t="s">
        <v>87</v>
      </c>
      <c r="Y25" t="s">
        <v>59</v>
      </c>
      <c r="Z25" t="s">
        <v>59</v>
      </c>
      <c r="AA25" t="s">
        <v>59</v>
      </c>
      <c r="AB25" t="s">
        <v>59</v>
      </c>
      <c r="AC25" t="s">
        <v>79</v>
      </c>
      <c r="AD25" t="s">
        <v>80</v>
      </c>
      <c r="AE25" t="s">
        <v>61</v>
      </c>
      <c r="AF25" t="s">
        <v>147</v>
      </c>
      <c r="AG25" t="s">
        <v>63</v>
      </c>
      <c r="AH25" t="s">
        <v>63</v>
      </c>
      <c r="AI25" t="s">
        <v>63</v>
      </c>
      <c r="AJ25" t="s">
        <v>82</v>
      </c>
      <c r="AK25" t="s">
        <v>63</v>
      </c>
      <c r="AL25" t="s">
        <v>66</v>
      </c>
      <c r="AM25" t="s">
        <v>121</v>
      </c>
      <c r="AN25" t="s">
        <v>89</v>
      </c>
      <c r="AO25" t="s">
        <v>64</v>
      </c>
      <c r="AP25" t="s">
        <v>69</v>
      </c>
      <c r="AQ25" t="s">
        <v>64</v>
      </c>
      <c r="AR25" s="25">
        <v>10</v>
      </c>
      <c r="AS25" t="s">
        <v>150</v>
      </c>
    </row>
    <row r="26" spans="1:45" x14ac:dyDescent="0.3">
      <c r="A26">
        <v>25</v>
      </c>
      <c r="B26" s="24">
        <v>46204.354884259257</v>
      </c>
      <c r="C26" s="24">
        <v>46204.36037037037</v>
      </c>
      <c r="D26" t="s">
        <v>45</v>
      </c>
      <c r="F26" s="1"/>
      <c r="G26" t="s">
        <v>46</v>
      </c>
      <c r="H26" t="s">
        <v>47</v>
      </c>
      <c r="I26" t="s">
        <v>48</v>
      </c>
      <c r="J26" t="s">
        <v>49</v>
      </c>
      <c r="K26" t="s">
        <v>109</v>
      </c>
      <c r="L26" t="s">
        <v>73</v>
      </c>
      <c r="M26" t="s">
        <v>73</v>
      </c>
      <c r="N26" t="s">
        <v>52</v>
      </c>
      <c r="O26" t="s">
        <v>53</v>
      </c>
      <c r="P26" t="s">
        <v>74</v>
      </c>
      <c r="Q26" t="s">
        <v>75</v>
      </c>
      <c r="R26" t="s">
        <v>76</v>
      </c>
      <c r="S26" t="s">
        <v>77</v>
      </c>
      <c r="T26" t="s">
        <v>58</v>
      </c>
      <c r="U26" t="s">
        <v>87</v>
      </c>
      <c r="V26" t="s">
        <v>79</v>
      </c>
      <c r="W26" t="s">
        <v>79</v>
      </c>
      <c r="X26" t="s">
        <v>59</v>
      </c>
      <c r="Y26" t="s">
        <v>59</v>
      </c>
      <c r="Z26" t="s">
        <v>59</v>
      </c>
      <c r="AA26" t="s">
        <v>79</v>
      </c>
      <c r="AB26" t="s">
        <v>59</v>
      </c>
      <c r="AC26" t="s">
        <v>59</v>
      </c>
      <c r="AD26" t="s">
        <v>60</v>
      </c>
      <c r="AE26" t="s">
        <v>61</v>
      </c>
      <c r="AF26" t="s">
        <v>62</v>
      </c>
      <c r="AG26" t="s">
        <v>63</v>
      </c>
      <c r="AH26" t="s">
        <v>63</v>
      </c>
      <c r="AI26" t="s">
        <v>63</v>
      </c>
      <c r="AJ26" t="s">
        <v>82</v>
      </c>
      <c r="AK26" t="s">
        <v>63</v>
      </c>
      <c r="AL26" t="s">
        <v>66</v>
      </c>
      <c r="AM26" t="s">
        <v>67</v>
      </c>
      <c r="AN26" t="s">
        <v>89</v>
      </c>
      <c r="AO26" t="s">
        <v>63</v>
      </c>
      <c r="AP26" t="s">
        <v>69</v>
      </c>
      <c r="AQ26" t="s">
        <v>63</v>
      </c>
      <c r="AR26" s="25">
        <v>9</v>
      </c>
      <c r="AS26" t="s">
        <v>151</v>
      </c>
    </row>
    <row r="27" spans="1:45" x14ac:dyDescent="0.3">
      <c r="A27">
        <v>26</v>
      </c>
      <c r="B27" s="24">
        <v>46204.559814814813</v>
      </c>
      <c r="C27" s="24">
        <v>46204.563113425924</v>
      </c>
      <c r="D27" t="s">
        <v>45</v>
      </c>
      <c r="F27" s="1"/>
      <c r="G27" t="s">
        <v>46</v>
      </c>
      <c r="H27" t="s">
        <v>91</v>
      </c>
      <c r="I27" t="s">
        <v>48</v>
      </c>
      <c r="J27" t="s">
        <v>49</v>
      </c>
      <c r="K27" t="s">
        <v>152</v>
      </c>
      <c r="L27" t="s">
        <v>51</v>
      </c>
      <c r="M27" t="s">
        <v>51</v>
      </c>
      <c r="N27" t="s">
        <v>116</v>
      </c>
      <c r="O27" t="s">
        <v>53</v>
      </c>
      <c r="P27" t="s">
        <v>54</v>
      </c>
      <c r="Q27" t="s">
        <v>75</v>
      </c>
      <c r="R27" t="s">
        <v>76</v>
      </c>
      <c r="S27" t="s">
        <v>77</v>
      </c>
      <c r="T27" t="s">
        <v>93</v>
      </c>
      <c r="U27" t="s">
        <v>59</v>
      </c>
      <c r="V27" t="s">
        <v>59</v>
      </c>
      <c r="W27" t="s">
        <v>59</v>
      </c>
      <c r="X27" t="s">
        <v>59</v>
      </c>
      <c r="Y27" t="s">
        <v>59</v>
      </c>
      <c r="Z27" t="s">
        <v>59</v>
      </c>
      <c r="AA27" t="s">
        <v>59</v>
      </c>
      <c r="AB27" t="s">
        <v>59</v>
      </c>
      <c r="AC27" t="s">
        <v>59</v>
      </c>
      <c r="AD27" t="s">
        <v>60</v>
      </c>
      <c r="AE27" t="s">
        <v>61</v>
      </c>
      <c r="AF27" t="s">
        <v>62</v>
      </c>
      <c r="AG27" t="s">
        <v>63</v>
      </c>
      <c r="AH27" t="s">
        <v>63</v>
      </c>
      <c r="AI27" t="s">
        <v>63</v>
      </c>
      <c r="AJ27" t="s">
        <v>65</v>
      </c>
      <c r="AK27" t="s">
        <v>63</v>
      </c>
      <c r="AL27" t="s">
        <v>66</v>
      </c>
      <c r="AM27" t="s">
        <v>67</v>
      </c>
      <c r="AN27" t="s">
        <v>68</v>
      </c>
      <c r="AO27" t="s">
        <v>63</v>
      </c>
      <c r="AP27" t="s">
        <v>69</v>
      </c>
      <c r="AQ27" t="s">
        <v>63</v>
      </c>
      <c r="AR27" s="25">
        <v>9</v>
      </c>
      <c r="AS27" t="s">
        <v>153</v>
      </c>
    </row>
    <row r="28" spans="1:45" x14ac:dyDescent="0.3">
      <c r="A28">
        <v>27</v>
      </c>
      <c r="B28" s="24">
        <v>46205.421342592592</v>
      </c>
      <c r="C28" s="24">
        <v>46205.427743055552</v>
      </c>
      <c r="D28" t="s">
        <v>45</v>
      </c>
      <c r="F28" s="1"/>
      <c r="G28" t="s">
        <v>100</v>
      </c>
      <c r="H28" t="s">
        <v>47</v>
      </c>
      <c r="I28" t="s">
        <v>113</v>
      </c>
      <c r="J28" t="s">
        <v>49</v>
      </c>
      <c r="K28" t="s">
        <v>154</v>
      </c>
      <c r="L28" t="s">
        <v>51</v>
      </c>
      <c r="M28" t="s">
        <v>51</v>
      </c>
      <c r="N28" t="s">
        <v>116</v>
      </c>
      <c r="O28" t="s">
        <v>53</v>
      </c>
      <c r="P28" t="s">
        <v>54</v>
      </c>
      <c r="Q28" t="s">
        <v>55</v>
      </c>
      <c r="R28" t="s">
        <v>56</v>
      </c>
      <c r="S28" t="s">
        <v>57</v>
      </c>
      <c r="T28" t="s">
        <v>93</v>
      </c>
      <c r="U28" t="s">
        <v>59</v>
      </c>
      <c r="V28" t="s">
        <v>59</v>
      </c>
      <c r="W28" t="s">
        <v>59</v>
      </c>
      <c r="X28" t="s">
        <v>59</v>
      </c>
      <c r="Y28" t="s">
        <v>59</v>
      </c>
      <c r="Z28" t="s">
        <v>59</v>
      </c>
      <c r="AA28" t="s">
        <v>59</v>
      </c>
      <c r="AB28" t="s">
        <v>59</v>
      </c>
      <c r="AC28" t="s">
        <v>59</v>
      </c>
      <c r="AD28" t="s">
        <v>60</v>
      </c>
      <c r="AE28" t="s">
        <v>61</v>
      </c>
      <c r="AF28" t="s">
        <v>62</v>
      </c>
      <c r="AG28" t="s">
        <v>63</v>
      </c>
      <c r="AH28" t="s">
        <v>63</v>
      </c>
      <c r="AI28" t="s">
        <v>64</v>
      </c>
      <c r="AJ28" t="s">
        <v>65</v>
      </c>
      <c r="AK28" t="s">
        <v>63</v>
      </c>
      <c r="AL28" t="s">
        <v>66</v>
      </c>
      <c r="AM28" t="s">
        <v>67</v>
      </c>
      <c r="AN28" t="s">
        <v>89</v>
      </c>
      <c r="AO28" t="s">
        <v>63</v>
      </c>
      <c r="AP28" t="s">
        <v>98</v>
      </c>
      <c r="AQ28" t="s">
        <v>63</v>
      </c>
      <c r="AR28" s="25">
        <v>9</v>
      </c>
      <c r="AS28" t="s">
        <v>155</v>
      </c>
    </row>
    <row r="29" spans="1:45" x14ac:dyDescent="0.3">
      <c r="A29">
        <v>28</v>
      </c>
      <c r="B29" s="24">
        <v>46205.426203703704</v>
      </c>
      <c r="C29" s="24">
        <v>46205.431504629632</v>
      </c>
      <c r="D29" t="s">
        <v>45</v>
      </c>
      <c r="F29" s="1"/>
      <c r="G29" t="s">
        <v>46</v>
      </c>
      <c r="H29" t="s">
        <v>47</v>
      </c>
      <c r="I29" t="s">
        <v>48</v>
      </c>
      <c r="J29" t="s">
        <v>49</v>
      </c>
      <c r="K29" t="s">
        <v>156</v>
      </c>
      <c r="L29" t="s">
        <v>73</v>
      </c>
      <c r="M29" t="s">
        <v>146</v>
      </c>
      <c r="N29" t="s">
        <v>52</v>
      </c>
      <c r="O29" t="s">
        <v>53</v>
      </c>
      <c r="P29" t="s">
        <v>74</v>
      </c>
      <c r="Q29" t="s">
        <v>75</v>
      </c>
      <c r="R29" t="s">
        <v>76</v>
      </c>
      <c r="S29" t="s">
        <v>77</v>
      </c>
      <c r="T29" t="s">
        <v>58</v>
      </c>
      <c r="U29" t="s">
        <v>87</v>
      </c>
      <c r="V29" t="s">
        <v>87</v>
      </c>
      <c r="W29" t="s">
        <v>86</v>
      </c>
      <c r="X29" t="s">
        <v>86</v>
      </c>
      <c r="Y29" t="s">
        <v>59</v>
      </c>
      <c r="Z29" t="s">
        <v>87</v>
      </c>
      <c r="AA29" t="s">
        <v>87</v>
      </c>
      <c r="AB29" t="s">
        <v>86</v>
      </c>
      <c r="AC29" t="s">
        <v>79</v>
      </c>
      <c r="AD29" t="s">
        <v>60</v>
      </c>
      <c r="AE29" t="s">
        <v>88</v>
      </c>
      <c r="AF29" t="s">
        <v>62</v>
      </c>
      <c r="AG29" t="s">
        <v>63</v>
      </c>
      <c r="AH29" t="s">
        <v>63</v>
      </c>
      <c r="AI29" t="s">
        <v>63</v>
      </c>
      <c r="AJ29" t="s">
        <v>82</v>
      </c>
      <c r="AK29" t="s">
        <v>63</v>
      </c>
      <c r="AL29" t="s">
        <v>66</v>
      </c>
      <c r="AM29" t="s">
        <v>67</v>
      </c>
      <c r="AN29" t="s">
        <v>89</v>
      </c>
      <c r="AO29" t="s">
        <v>63</v>
      </c>
      <c r="AP29" t="s">
        <v>107</v>
      </c>
      <c r="AQ29" t="s">
        <v>63</v>
      </c>
      <c r="AR29" s="25">
        <v>8</v>
      </c>
      <c r="AS29" t="s">
        <v>157</v>
      </c>
    </row>
    <row r="30" spans="1:45" x14ac:dyDescent="0.3">
      <c r="A30">
        <v>29</v>
      </c>
      <c r="B30" s="24">
        <v>46205.421631944446</v>
      </c>
      <c r="C30" s="24">
        <v>46205.432303240741</v>
      </c>
      <c r="D30" t="s">
        <v>45</v>
      </c>
      <c r="F30" s="1"/>
      <c r="G30" t="s">
        <v>100</v>
      </c>
      <c r="H30" t="s">
        <v>47</v>
      </c>
      <c r="I30" t="s">
        <v>48</v>
      </c>
      <c r="J30" t="s">
        <v>49</v>
      </c>
      <c r="K30" t="s">
        <v>158</v>
      </c>
      <c r="L30" t="s">
        <v>51</v>
      </c>
      <c r="M30" t="s">
        <v>51</v>
      </c>
      <c r="N30" t="s">
        <v>52</v>
      </c>
      <c r="O30" t="s">
        <v>53</v>
      </c>
      <c r="P30" t="s">
        <v>74</v>
      </c>
      <c r="Q30" t="s">
        <v>75</v>
      </c>
      <c r="R30" t="s">
        <v>76</v>
      </c>
      <c r="S30" t="s">
        <v>77</v>
      </c>
      <c r="T30" t="s">
        <v>58</v>
      </c>
      <c r="U30" t="s">
        <v>59</v>
      </c>
      <c r="V30" t="s">
        <v>59</v>
      </c>
      <c r="W30" t="s">
        <v>59</v>
      </c>
      <c r="X30" t="s">
        <v>59</v>
      </c>
      <c r="Y30" t="s">
        <v>79</v>
      </c>
      <c r="Z30" t="s">
        <v>59</v>
      </c>
      <c r="AA30" t="s">
        <v>59</v>
      </c>
      <c r="AB30" t="s">
        <v>59</v>
      </c>
      <c r="AC30" t="s">
        <v>59</v>
      </c>
      <c r="AD30" t="s">
        <v>60</v>
      </c>
      <c r="AE30" t="s">
        <v>61</v>
      </c>
      <c r="AF30" t="s">
        <v>62</v>
      </c>
      <c r="AG30" t="s">
        <v>63</v>
      </c>
      <c r="AH30" t="s">
        <v>63</v>
      </c>
      <c r="AI30" t="s">
        <v>63</v>
      </c>
      <c r="AJ30" t="s">
        <v>65</v>
      </c>
      <c r="AK30" t="s">
        <v>63</v>
      </c>
      <c r="AL30" t="s">
        <v>66</v>
      </c>
      <c r="AM30" t="s">
        <v>67</v>
      </c>
      <c r="AN30" t="s">
        <v>89</v>
      </c>
      <c r="AO30" t="s">
        <v>63</v>
      </c>
      <c r="AP30" t="s">
        <v>98</v>
      </c>
      <c r="AQ30" t="s">
        <v>63</v>
      </c>
      <c r="AR30" s="25">
        <v>9</v>
      </c>
      <c r="AS30" t="s">
        <v>159</v>
      </c>
    </row>
    <row r="31" spans="1:45" x14ac:dyDescent="0.3">
      <c r="A31">
        <v>30</v>
      </c>
      <c r="B31" s="24">
        <v>46205.43478009259</v>
      </c>
      <c r="C31" s="24">
        <v>46205.438888888886</v>
      </c>
      <c r="D31" t="s">
        <v>45</v>
      </c>
      <c r="F31" s="1"/>
      <c r="G31" t="s">
        <v>46</v>
      </c>
      <c r="H31" t="s">
        <v>47</v>
      </c>
      <c r="I31" t="s">
        <v>48</v>
      </c>
      <c r="J31" t="s">
        <v>49</v>
      </c>
      <c r="K31" t="s">
        <v>160</v>
      </c>
      <c r="L31" t="s">
        <v>73</v>
      </c>
      <c r="M31" t="s">
        <v>146</v>
      </c>
      <c r="N31" t="s">
        <v>52</v>
      </c>
      <c r="O31" t="s">
        <v>53</v>
      </c>
      <c r="P31" t="s">
        <v>74</v>
      </c>
      <c r="Q31" t="s">
        <v>75</v>
      </c>
      <c r="R31" t="s">
        <v>76</v>
      </c>
      <c r="S31" t="s">
        <v>77</v>
      </c>
      <c r="T31" t="s">
        <v>58</v>
      </c>
      <c r="U31" t="s">
        <v>86</v>
      </c>
      <c r="V31" t="s">
        <v>87</v>
      </c>
      <c r="W31" t="s">
        <v>87</v>
      </c>
      <c r="X31" t="s">
        <v>87</v>
      </c>
      <c r="Y31" t="s">
        <v>79</v>
      </c>
      <c r="Z31" t="s">
        <v>79</v>
      </c>
      <c r="AA31" t="s">
        <v>87</v>
      </c>
      <c r="AB31" t="s">
        <v>87</v>
      </c>
      <c r="AC31" t="s">
        <v>79</v>
      </c>
      <c r="AD31" t="s">
        <v>60</v>
      </c>
      <c r="AE31" t="s">
        <v>88</v>
      </c>
      <c r="AF31" t="s">
        <v>62</v>
      </c>
      <c r="AG31" t="s">
        <v>63</v>
      </c>
      <c r="AH31" t="s">
        <v>63</v>
      </c>
      <c r="AI31" t="s">
        <v>63</v>
      </c>
      <c r="AJ31" t="s">
        <v>82</v>
      </c>
      <c r="AK31" t="s">
        <v>63</v>
      </c>
      <c r="AL31" t="s">
        <v>66</v>
      </c>
      <c r="AM31" t="s">
        <v>67</v>
      </c>
      <c r="AN31" t="s">
        <v>89</v>
      </c>
      <c r="AO31" t="s">
        <v>63</v>
      </c>
      <c r="AP31" t="s">
        <v>107</v>
      </c>
      <c r="AQ31" t="s">
        <v>63</v>
      </c>
      <c r="AR31" s="25">
        <v>8</v>
      </c>
      <c r="AS31" t="s">
        <v>161</v>
      </c>
    </row>
    <row r="32" spans="1:45" x14ac:dyDescent="0.3">
      <c r="A32">
        <v>31</v>
      </c>
      <c r="B32" s="24">
        <v>46205.439143518517</v>
      </c>
      <c r="C32" s="24">
        <v>46205.442939814813</v>
      </c>
      <c r="D32" t="s">
        <v>45</v>
      </c>
      <c r="F32" s="1"/>
      <c r="G32" t="s">
        <v>46</v>
      </c>
      <c r="H32" t="s">
        <v>47</v>
      </c>
      <c r="I32" t="s">
        <v>48</v>
      </c>
      <c r="J32" t="s">
        <v>162</v>
      </c>
      <c r="K32" t="s">
        <v>160</v>
      </c>
      <c r="L32" t="s">
        <v>73</v>
      </c>
      <c r="M32" t="s">
        <v>73</v>
      </c>
      <c r="N32" t="s">
        <v>52</v>
      </c>
      <c r="O32" t="s">
        <v>53</v>
      </c>
      <c r="P32" t="s">
        <v>74</v>
      </c>
      <c r="Q32" t="s">
        <v>75</v>
      </c>
      <c r="R32" t="s">
        <v>76</v>
      </c>
      <c r="S32" t="s">
        <v>77</v>
      </c>
      <c r="T32" t="s">
        <v>58</v>
      </c>
      <c r="U32" t="s">
        <v>87</v>
      </c>
      <c r="V32" t="s">
        <v>86</v>
      </c>
      <c r="W32" t="s">
        <v>86</v>
      </c>
      <c r="X32" t="s">
        <v>87</v>
      </c>
      <c r="Y32" t="s">
        <v>79</v>
      </c>
      <c r="Z32" t="s">
        <v>79</v>
      </c>
      <c r="AA32" t="s">
        <v>87</v>
      </c>
      <c r="AB32" t="s">
        <v>79</v>
      </c>
      <c r="AC32" t="s">
        <v>79</v>
      </c>
      <c r="AD32" t="s">
        <v>60</v>
      </c>
      <c r="AE32" t="s">
        <v>88</v>
      </c>
      <c r="AF32" t="s">
        <v>147</v>
      </c>
      <c r="AG32" t="s">
        <v>63</v>
      </c>
      <c r="AH32" t="s">
        <v>63</v>
      </c>
      <c r="AI32" t="s">
        <v>63</v>
      </c>
      <c r="AJ32" t="s">
        <v>82</v>
      </c>
      <c r="AK32" t="s">
        <v>63</v>
      </c>
      <c r="AL32" t="s">
        <v>66</v>
      </c>
      <c r="AM32" t="s">
        <v>67</v>
      </c>
      <c r="AN32" t="s">
        <v>68</v>
      </c>
      <c r="AO32" t="s">
        <v>63</v>
      </c>
      <c r="AP32" t="s">
        <v>107</v>
      </c>
      <c r="AQ32" t="s">
        <v>63</v>
      </c>
      <c r="AR32" s="25">
        <v>8</v>
      </c>
      <c r="AS32" t="s">
        <v>163</v>
      </c>
    </row>
    <row r="33" spans="1:45" x14ac:dyDescent="0.3">
      <c r="A33">
        <v>32</v>
      </c>
      <c r="B33" s="24">
        <v>46205.776192129626</v>
      </c>
      <c r="C33" s="24">
        <v>46205.779710648145</v>
      </c>
      <c r="D33" t="s">
        <v>45</v>
      </c>
      <c r="F33" s="1"/>
      <c r="G33" t="s">
        <v>100</v>
      </c>
      <c r="H33" t="s">
        <v>91</v>
      </c>
      <c r="I33" t="s">
        <v>48</v>
      </c>
      <c r="J33" t="s">
        <v>49</v>
      </c>
      <c r="K33" t="s">
        <v>109</v>
      </c>
      <c r="L33" t="s">
        <v>51</v>
      </c>
      <c r="M33" t="s">
        <v>73</v>
      </c>
      <c r="N33" t="s">
        <v>52</v>
      </c>
      <c r="O33" t="s">
        <v>53</v>
      </c>
      <c r="P33" t="s">
        <v>74</v>
      </c>
      <c r="Q33" t="s">
        <v>55</v>
      </c>
      <c r="R33" t="s">
        <v>76</v>
      </c>
      <c r="S33" t="s">
        <v>77</v>
      </c>
      <c r="T33" t="s">
        <v>58</v>
      </c>
      <c r="U33" t="s">
        <v>59</v>
      </c>
      <c r="V33" t="s">
        <v>59</v>
      </c>
      <c r="W33" t="s">
        <v>59</v>
      </c>
      <c r="X33" t="s">
        <v>59</v>
      </c>
      <c r="Y33" t="s">
        <v>59</v>
      </c>
      <c r="Z33" t="s">
        <v>59</v>
      </c>
      <c r="AA33" t="s">
        <v>59</v>
      </c>
      <c r="AB33" t="s">
        <v>59</v>
      </c>
      <c r="AC33" t="s">
        <v>59</v>
      </c>
      <c r="AD33" t="s">
        <v>60</v>
      </c>
      <c r="AE33" t="s">
        <v>61</v>
      </c>
      <c r="AF33" t="s">
        <v>119</v>
      </c>
      <c r="AG33" t="s">
        <v>63</v>
      </c>
      <c r="AH33" t="s">
        <v>63</v>
      </c>
      <c r="AI33" t="s">
        <v>63</v>
      </c>
      <c r="AJ33" t="s">
        <v>82</v>
      </c>
      <c r="AK33" t="s">
        <v>63</v>
      </c>
      <c r="AL33" t="s">
        <v>66</v>
      </c>
      <c r="AM33" t="s">
        <v>67</v>
      </c>
      <c r="AN33" t="s">
        <v>68</v>
      </c>
      <c r="AO33" t="s">
        <v>63</v>
      </c>
      <c r="AP33" t="s">
        <v>69</v>
      </c>
      <c r="AQ33" t="s">
        <v>63</v>
      </c>
      <c r="AR33" s="25">
        <v>9</v>
      </c>
      <c r="AS33" t="s">
        <v>164</v>
      </c>
    </row>
    <row r="34" spans="1:45" x14ac:dyDescent="0.3">
      <c r="A34">
        <v>33</v>
      </c>
      <c r="B34" s="24">
        <v>46213.595613425925</v>
      </c>
      <c r="C34" s="24">
        <v>46213.603981481479</v>
      </c>
      <c r="D34" t="s">
        <v>45</v>
      </c>
      <c r="F34" s="1"/>
      <c r="G34" t="s">
        <v>46</v>
      </c>
      <c r="H34" t="s">
        <v>47</v>
      </c>
      <c r="I34" t="s">
        <v>48</v>
      </c>
      <c r="J34" t="s">
        <v>49</v>
      </c>
      <c r="K34" t="s">
        <v>165</v>
      </c>
      <c r="L34" t="s">
        <v>73</v>
      </c>
      <c r="M34" t="s">
        <v>73</v>
      </c>
      <c r="N34" t="s">
        <v>52</v>
      </c>
      <c r="O34" t="s">
        <v>53</v>
      </c>
      <c r="P34" t="s">
        <v>74</v>
      </c>
      <c r="Q34" t="s">
        <v>75</v>
      </c>
      <c r="R34" t="s">
        <v>76</v>
      </c>
      <c r="S34" t="s">
        <v>77</v>
      </c>
      <c r="T34" t="s">
        <v>58</v>
      </c>
      <c r="U34" t="s">
        <v>79</v>
      </c>
      <c r="V34" t="s">
        <v>79</v>
      </c>
      <c r="W34" t="s">
        <v>79</v>
      </c>
      <c r="X34" t="s">
        <v>79</v>
      </c>
      <c r="Y34" t="s">
        <v>59</v>
      </c>
      <c r="Z34" t="s">
        <v>79</v>
      </c>
      <c r="AA34" t="s">
        <v>79</v>
      </c>
      <c r="AB34" t="s">
        <v>79</v>
      </c>
      <c r="AC34" t="s">
        <v>59</v>
      </c>
      <c r="AD34" t="s">
        <v>60</v>
      </c>
      <c r="AE34" t="s">
        <v>88</v>
      </c>
      <c r="AF34" t="s">
        <v>147</v>
      </c>
      <c r="AG34" t="s">
        <v>63</v>
      </c>
      <c r="AH34" t="s">
        <v>63</v>
      </c>
      <c r="AI34" t="s">
        <v>63</v>
      </c>
      <c r="AJ34" t="s">
        <v>82</v>
      </c>
      <c r="AK34" t="s">
        <v>63</v>
      </c>
      <c r="AL34" t="s">
        <v>66</v>
      </c>
      <c r="AM34" t="s">
        <v>121</v>
      </c>
      <c r="AN34" t="s">
        <v>89</v>
      </c>
      <c r="AO34" t="s">
        <v>63</v>
      </c>
      <c r="AP34" t="s">
        <v>69</v>
      </c>
      <c r="AQ34" t="s">
        <v>63</v>
      </c>
      <c r="AR34" s="25">
        <v>8</v>
      </c>
      <c r="AS34" t="s">
        <v>166</v>
      </c>
    </row>
    <row r="35" spans="1:45" x14ac:dyDescent="0.3">
      <c r="A35">
        <v>34</v>
      </c>
      <c r="B35" s="24">
        <v>46216.455949074072</v>
      </c>
      <c r="C35" s="24">
        <v>46216.463263888887</v>
      </c>
      <c r="D35" t="s">
        <v>45</v>
      </c>
      <c r="F35" s="1"/>
      <c r="G35" t="s">
        <v>100</v>
      </c>
      <c r="H35" t="s">
        <v>91</v>
      </c>
      <c r="I35" t="s">
        <v>101</v>
      </c>
      <c r="J35" t="s">
        <v>49</v>
      </c>
      <c r="K35" t="s">
        <v>97</v>
      </c>
      <c r="L35" t="s">
        <v>73</v>
      </c>
      <c r="M35" t="s">
        <v>51</v>
      </c>
      <c r="N35" t="s">
        <v>116</v>
      </c>
      <c r="O35" t="s">
        <v>53</v>
      </c>
      <c r="P35" t="s">
        <v>74</v>
      </c>
      <c r="Q35" t="s">
        <v>75</v>
      </c>
      <c r="R35" t="s">
        <v>56</v>
      </c>
      <c r="S35" t="s">
        <v>77</v>
      </c>
      <c r="T35" t="s">
        <v>93</v>
      </c>
      <c r="U35" t="s">
        <v>86</v>
      </c>
      <c r="V35" t="s">
        <v>79</v>
      </c>
      <c r="W35" t="s">
        <v>59</v>
      </c>
      <c r="X35" t="s">
        <v>59</v>
      </c>
      <c r="Y35" t="s">
        <v>59</v>
      </c>
      <c r="Z35" t="s">
        <v>86</v>
      </c>
      <c r="AA35" t="s">
        <v>79</v>
      </c>
      <c r="AB35" t="s">
        <v>59</v>
      </c>
      <c r="AC35" t="s">
        <v>59</v>
      </c>
      <c r="AD35" t="s">
        <v>60</v>
      </c>
      <c r="AE35" t="s">
        <v>61</v>
      </c>
      <c r="AF35" t="s">
        <v>62</v>
      </c>
      <c r="AG35" t="s">
        <v>63</v>
      </c>
      <c r="AH35" t="s">
        <v>63</v>
      </c>
      <c r="AI35" t="s">
        <v>81</v>
      </c>
      <c r="AJ35" t="s">
        <v>82</v>
      </c>
      <c r="AK35" t="s">
        <v>81</v>
      </c>
      <c r="AL35" t="s">
        <v>102</v>
      </c>
      <c r="AM35" t="s">
        <v>67</v>
      </c>
      <c r="AN35" t="s">
        <v>68</v>
      </c>
      <c r="AO35" t="s">
        <v>137</v>
      </c>
      <c r="AP35" t="s">
        <v>107</v>
      </c>
      <c r="AQ35" t="s">
        <v>137</v>
      </c>
      <c r="AR35" s="25">
        <v>9</v>
      </c>
      <c r="AS35" t="s">
        <v>167</v>
      </c>
    </row>
    <row r="36" spans="1:45" x14ac:dyDescent="0.3">
      <c r="A36">
        <v>35</v>
      </c>
      <c r="B36" s="24">
        <v>46216.456550925926</v>
      </c>
      <c r="C36" s="24">
        <v>46216.464745370373</v>
      </c>
      <c r="D36" t="s">
        <v>45</v>
      </c>
      <c r="F36" s="1"/>
      <c r="G36" t="s">
        <v>100</v>
      </c>
      <c r="H36" t="s">
        <v>47</v>
      </c>
      <c r="I36" t="s">
        <v>48</v>
      </c>
      <c r="J36" t="s">
        <v>49</v>
      </c>
      <c r="K36" t="s">
        <v>168</v>
      </c>
      <c r="L36" t="s">
        <v>73</v>
      </c>
      <c r="M36" t="s">
        <v>73</v>
      </c>
      <c r="N36" t="s">
        <v>52</v>
      </c>
      <c r="O36" t="s">
        <v>53</v>
      </c>
      <c r="P36" t="s">
        <v>74</v>
      </c>
      <c r="Q36" t="s">
        <v>75</v>
      </c>
      <c r="R36" t="s">
        <v>76</v>
      </c>
      <c r="S36" t="s">
        <v>77</v>
      </c>
      <c r="T36" t="s">
        <v>58</v>
      </c>
      <c r="U36" t="s">
        <v>87</v>
      </c>
      <c r="V36" t="s">
        <v>59</v>
      </c>
      <c r="W36" t="s">
        <v>59</v>
      </c>
      <c r="X36" t="s">
        <v>59</v>
      </c>
      <c r="Y36" t="s">
        <v>59</v>
      </c>
      <c r="Z36" t="s">
        <v>59</v>
      </c>
      <c r="AA36" t="s">
        <v>59</v>
      </c>
      <c r="AB36" t="s">
        <v>59</v>
      </c>
      <c r="AC36" t="s">
        <v>59</v>
      </c>
      <c r="AD36" t="s">
        <v>60</v>
      </c>
      <c r="AE36" t="s">
        <v>94</v>
      </c>
      <c r="AF36" t="s">
        <v>62</v>
      </c>
      <c r="AG36" t="s">
        <v>63</v>
      </c>
      <c r="AH36" t="s">
        <v>63</v>
      </c>
      <c r="AI36" t="s">
        <v>63</v>
      </c>
      <c r="AJ36" t="s">
        <v>82</v>
      </c>
      <c r="AK36" t="s">
        <v>63</v>
      </c>
      <c r="AL36" t="s">
        <v>66</v>
      </c>
      <c r="AM36" t="s">
        <v>67</v>
      </c>
      <c r="AN36" t="s">
        <v>89</v>
      </c>
      <c r="AO36" t="s">
        <v>63</v>
      </c>
      <c r="AP36" t="s">
        <v>69</v>
      </c>
      <c r="AQ36" t="s">
        <v>63</v>
      </c>
      <c r="AR36" s="25">
        <v>8</v>
      </c>
      <c r="AS36" t="s">
        <v>169</v>
      </c>
    </row>
    <row r="37" spans="1:45" x14ac:dyDescent="0.3">
      <c r="A37">
        <v>36</v>
      </c>
      <c r="B37" s="24">
        <v>46216.454930555556</v>
      </c>
      <c r="C37" s="24">
        <v>46216.46565972222</v>
      </c>
      <c r="D37" t="s">
        <v>45</v>
      </c>
      <c r="F37" s="1"/>
      <c r="G37" t="s">
        <v>100</v>
      </c>
      <c r="H37" t="s">
        <v>112</v>
      </c>
      <c r="I37" t="s">
        <v>48</v>
      </c>
      <c r="J37" t="s">
        <v>49</v>
      </c>
      <c r="K37" t="s">
        <v>170</v>
      </c>
      <c r="L37" t="s">
        <v>73</v>
      </c>
      <c r="M37" t="s">
        <v>73</v>
      </c>
      <c r="N37" t="s">
        <v>52</v>
      </c>
      <c r="O37" t="s">
        <v>53</v>
      </c>
      <c r="P37" t="s">
        <v>74</v>
      </c>
      <c r="Q37" t="s">
        <v>75</v>
      </c>
      <c r="R37" t="s">
        <v>76</v>
      </c>
      <c r="S37" t="s">
        <v>77</v>
      </c>
      <c r="T37" t="s">
        <v>58</v>
      </c>
      <c r="U37" t="s">
        <v>87</v>
      </c>
      <c r="V37" t="s">
        <v>87</v>
      </c>
      <c r="W37" t="s">
        <v>87</v>
      </c>
      <c r="X37" t="s">
        <v>86</v>
      </c>
      <c r="Y37" t="s">
        <v>59</v>
      </c>
      <c r="Z37" t="s">
        <v>59</v>
      </c>
      <c r="AA37" t="s">
        <v>86</v>
      </c>
      <c r="AB37" t="s">
        <v>79</v>
      </c>
      <c r="AC37" t="s">
        <v>59</v>
      </c>
      <c r="AD37" t="s">
        <v>60</v>
      </c>
      <c r="AE37" t="s">
        <v>61</v>
      </c>
      <c r="AF37" t="s">
        <v>62</v>
      </c>
      <c r="AG37" t="s">
        <v>63</v>
      </c>
      <c r="AH37" t="s">
        <v>63</v>
      </c>
      <c r="AI37" t="s">
        <v>63</v>
      </c>
      <c r="AJ37" t="s">
        <v>82</v>
      </c>
      <c r="AK37" t="s">
        <v>63</v>
      </c>
      <c r="AL37" t="s">
        <v>120</v>
      </c>
      <c r="AM37" t="s">
        <v>67</v>
      </c>
      <c r="AN37" t="s">
        <v>89</v>
      </c>
      <c r="AO37" t="s">
        <v>63</v>
      </c>
      <c r="AP37" t="s">
        <v>110</v>
      </c>
      <c r="AQ37" t="s">
        <v>63</v>
      </c>
      <c r="AR37" s="25">
        <v>9</v>
      </c>
      <c r="AS37" t="s">
        <v>171</v>
      </c>
    </row>
    <row r="38" spans="1:45" x14ac:dyDescent="0.3">
      <c r="A38">
        <v>37</v>
      </c>
      <c r="B38" s="24">
        <v>46216.460694444446</v>
      </c>
      <c r="C38" s="24">
        <v>46216.466782407406</v>
      </c>
      <c r="D38" t="s">
        <v>45</v>
      </c>
      <c r="F38" s="1"/>
      <c r="G38" t="s">
        <v>100</v>
      </c>
      <c r="H38" t="s">
        <v>47</v>
      </c>
      <c r="I38" t="s">
        <v>48</v>
      </c>
      <c r="J38" t="s">
        <v>71</v>
      </c>
      <c r="K38" t="s">
        <v>172</v>
      </c>
      <c r="L38" t="s">
        <v>73</v>
      </c>
      <c r="M38" t="s">
        <v>73</v>
      </c>
      <c r="N38" t="s">
        <v>52</v>
      </c>
      <c r="O38" t="s">
        <v>53</v>
      </c>
      <c r="P38" t="s">
        <v>74</v>
      </c>
      <c r="Q38" t="s">
        <v>75</v>
      </c>
      <c r="R38" t="s">
        <v>76</v>
      </c>
      <c r="S38" t="s">
        <v>77</v>
      </c>
      <c r="T38" t="s">
        <v>58</v>
      </c>
      <c r="U38" t="s">
        <v>59</v>
      </c>
      <c r="V38" t="s">
        <v>59</v>
      </c>
      <c r="W38" t="s">
        <v>59</v>
      </c>
      <c r="X38" t="s">
        <v>59</v>
      </c>
      <c r="Y38" t="s">
        <v>59</v>
      </c>
      <c r="Z38" t="s">
        <v>59</v>
      </c>
      <c r="AA38" t="s">
        <v>59</v>
      </c>
      <c r="AB38" t="s">
        <v>59</v>
      </c>
      <c r="AC38" t="s">
        <v>86</v>
      </c>
      <c r="AD38" t="s">
        <v>80</v>
      </c>
      <c r="AE38" t="s">
        <v>61</v>
      </c>
      <c r="AF38" t="s">
        <v>173</v>
      </c>
      <c r="AG38" t="s">
        <v>81</v>
      </c>
      <c r="AH38" t="s">
        <v>63</v>
      </c>
      <c r="AI38" t="s">
        <v>81</v>
      </c>
      <c r="AJ38" t="s">
        <v>82</v>
      </c>
      <c r="AK38" t="s">
        <v>63</v>
      </c>
      <c r="AL38" t="s">
        <v>102</v>
      </c>
      <c r="AM38" t="s">
        <v>137</v>
      </c>
      <c r="AN38" t="s">
        <v>68</v>
      </c>
      <c r="AO38" t="s">
        <v>137</v>
      </c>
      <c r="AP38" t="s">
        <v>107</v>
      </c>
      <c r="AQ38" t="s">
        <v>63</v>
      </c>
      <c r="AR38" s="25">
        <v>8</v>
      </c>
      <c r="AS38" t="s">
        <v>174</v>
      </c>
    </row>
    <row r="39" spans="1:45" x14ac:dyDescent="0.3">
      <c r="A39">
        <v>38</v>
      </c>
      <c r="B39" s="24">
        <v>46216.457754629628</v>
      </c>
      <c r="C39" s="24">
        <v>46216.468298611115</v>
      </c>
      <c r="D39" t="s">
        <v>45</v>
      </c>
      <c r="F39" s="1"/>
      <c r="G39" t="s">
        <v>100</v>
      </c>
      <c r="H39" t="s">
        <v>47</v>
      </c>
      <c r="I39" t="s">
        <v>48</v>
      </c>
      <c r="J39" t="s">
        <v>49</v>
      </c>
      <c r="K39" t="s">
        <v>97</v>
      </c>
      <c r="L39" t="s">
        <v>51</v>
      </c>
      <c r="M39" t="s">
        <v>51</v>
      </c>
      <c r="N39" t="s">
        <v>52</v>
      </c>
      <c r="O39" t="s">
        <v>53</v>
      </c>
      <c r="P39" t="s">
        <v>54</v>
      </c>
      <c r="Q39" t="s">
        <v>75</v>
      </c>
      <c r="R39" t="s">
        <v>76</v>
      </c>
      <c r="S39" t="s">
        <v>57</v>
      </c>
      <c r="T39" t="s">
        <v>93</v>
      </c>
      <c r="U39" t="s">
        <v>59</v>
      </c>
      <c r="V39" t="s">
        <v>59</v>
      </c>
      <c r="W39" t="s">
        <v>59</v>
      </c>
      <c r="X39" t="s">
        <v>59</v>
      </c>
      <c r="Y39" t="s">
        <v>59</v>
      </c>
      <c r="Z39" t="s">
        <v>59</v>
      </c>
      <c r="AA39" t="s">
        <v>59</v>
      </c>
      <c r="AB39" t="s">
        <v>59</v>
      </c>
      <c r="AC39" t="s">
        <v>79</v>
      </c>
      <c r="AD39" t="s">
        <v>60</v>
      </c>
      <c r="AE39" t="s">
        <v>94</v>
      </c>
      <c r="AF39" t="s">
        <v>62</v>
      </c>
      <c r="AG39" t="s">
        <v>63</v>
      </c>
      <c r="AH39" t="s">
        <v>63</v>
      </c>
      <c r="AI39" t="s">
        <v>63</v>
      </c>
      <c r="AJ39" t="s">
        <v>65</v>
      </c>
      <c r="AK39" t="s">
        <v>63</v>
      </c>
      <c r="AL39" t="s">
        <v>120</v>
      </c>
      <c r="AM39" t="s">
        <v>67</v>
      </c>
      <c r="AN39" t="s">
        <v>175</v>
      </c>
      <c r="AO39" t="s">
        <v>63</v>
      </c>
      <c r="AP39" t="s">
        <v>69</v>
      </c>
      <c r="AQ39" t="s">
        <v>63</v>
      </c>
      <c r="AR39" s="25">
        <v>10</v>
      </c>
      <c r="AS39" t="s">
        <v>176</v>
      </c>
    </row>
    <row r="40" spans="1:45" x14ac:dyDescent="0.3">
      <c r="A40">
        <v>39</v>
      </c>
      <c r="B40" s="24">
        <v>46216.455023148148</v>
      </c>
      <c r="C40" s="24">
        <v>46216.468356481484</v>
      </c>
      <c r="D40" t="s">
        <v>45</v>
      </c>
      <c r="F40" s="1"/>
      <c r="G40" t="s">
        <v>100</v>
      </c>
      <c r="H40" t="s">
        <v>47</v>
      </c>
      <c r="I40" t="s">
        <v>101</v>
      </c>
      <c r="J40" t="s">
        <v>49</v>
      </c>
      <c r="K40" t="s">
        <v>97</v>
      </c>
      <c r="L40" t="s">
        <v>51</v>
      </c>
      <c r="M40" t="s">
        <v>51</v>
      </c>
      <c r="N40" t="s">
        <v>116</v>
      </c>
      <c r="O40" t="s">
        <v>53</v>
      </c>
      <c r="P40" t="s">
        <v>54</v>
      </c>
      <c r="Q40" t="s">
        <v>55</v>
      </c>
      <c r="R40" t="s">
        <v>56</v>
      </c>
      <c r="S40" t="s">
        <v>57</v>
      </c>
      <c r="T40" t="s">
        <v>93</v>
      </c>
      <c r="U40" t="s">
        <v>59</v>
      </c>
      <c r="V40" t="s">
        <v>59</v>
      </c>
      <c r="W40" t="s">
        <v>59</v>
      </c>
      <c r="X40" t="s">
        <v>59</v>
      </c>
      <c r="Y40" t="s">
        <v>59</v>
      </c>
      <c r="Z40" t="s">
        <v>59</v>
      </c>
      <c r="AA40" t="s">
        <v>59</v>
      </c>
      <c r="AB40" t="s">
        <v>59</v>
      </c>
      <c r="AC40" t="s">
        <v>59</v>
      </c>
      <c r="AD40" t="s">
        <v>60</v>
      </c>
      <c r="AE40" t="s">
        <v>61</v>
      </c>
      <c r="AF40" t="s">
        <v>62</v>
      </c>
      <c r="AG40" t="s">
        <v>64</v>
      </c>
      <c r="AH40" t="s">
        <v>64</v>
      </c>
      <c r="AI40" t="s">
        <v>64</v>
      </c>
      <c r="AJ40" t="s">
        <v>65</v>
      </c>
      <c r="AK40" t="s">
        <v>64</v>
      </c>
      <c r="AL40" t="s">
        <v>66</v>
      </c>
      <c r="AM40" t="s">
        <v>67</v>
      </c>
      <c r="AN40" t="s">
        <v>89</v>
      </c>
      <c r="AO40" t="s">
        <v>64</v>
      </c>
      <c r="AP40" t="s">
        <v>110</v>
      </c>
      <c r="AQ40" t="s">
        <v>64</v>
      </c>
      <c r="AR40" s="25">
        <v>10</v>
      </c>
      <c r="AS40" t="s">
        <v>177</v>
      </c>
    </row>
    <row r="41" spans="1:45" x14ac:dyDescent="0.3">
      <c r="A41">
        <v>40</v>
      </c>
      <c r="B41" s="24">
        <v>46216.458136574074</v>
      </c>
      <c r="C41" s="24">
        <v>46216.46837962963</v>
      </c>
      <c r="D41" t="s">
        <v>45</v>
      </c>
      <c r="F41" s="1"/>
      <c r="G41" t="s">
        <v>100</v>
      </c>
      <c r="H41" t="s">
        <v>91</v>
      </c>
      <c r="I41" t="s">
        <v>48</v>
      </c>
      <c r="J41" t="s">
        <v>49</v>
      </c>
      <c r="K41" t="s">
        <v>178</v>
      </c>
      <c r="L41" t="s">
        <v>51</v>
      </c>
      <c r="M41" t="s">
        <v>51</v>
      </c>
      <c r="N41" t="s">
        <v>52</v>
      </c>
      <c r="O41" t="s">
        <v>53</v>
      </c>
      <c r="P41" t="s">
        <v>74</v>
      </c>
      <c r="Q41" t="s">
        <v>75</v>
      </c>
      <c r="R41" t="s">
        <v>76</v>
      </c>
      <c r="S41" t="s">
        <v>77</v>
      </c>
      <c r="T41" t="s">
        <v>58</v>
      </c>
      <c r="U41" t="s">
        <v>59</v>
      </c>
      <c r="V41" t="s">
        <v>59</v>
      </c>
      <c r="W41" t="s">
        <v>59</v>
      </c>
      <c r="X41" t="s">
        <v>59</v>
      </c>
      <c r="Y41" t="s">
        <v>59</v>
      </c>
      <c r="Z41" t="s">
        <v>59</v>
      </c>
      <c r="AA41" t="s">
        <v>59</v>
      </c>
      <c r="AB41" t="s">
        <v>59</v>
      </c>
      <c r="AC41" t="s">
        <v>59</v>
      </c>
      <c r="AD41" t="s">
        <v>60</v>
      </c>
      <c r="AE41" t="s">
        <v>61</v>
      </c>
      <c r="AF41" t="s">
        <v>62</v>
      </c>
      <c r="AG41" t="s">
        <v>63</v>
      </c>
      <c r="AH41" t="s">
        <v>63</v>
      </c>
      <c r="AI41" t="s">
        <v>63</v>
      </c>
      <c r="AJ41" t="s">
        <v>65</v>
      </c>
      <c r="AK41" t="s">
        <v>63</v>
      </c>
      <c r="AL41" t="s">
        <v>66</v>
      </c>
      <c r="AM41" t="s">
        <v>67</v>
      </c>
      <c r="AN41" t="s">
        <v>89</v>
      </c>
      <c r="AO41" t="s">
        <v>63</v>
      </c>
      <c r="AP41" t="s">
        <v>98</v>
      </c>
      <c r="AQ41" t="s">
        <v>63</v>
      </c>
      <c r="AR41" s="25">
        <v>10</v>
      </c>
      <c r="AS41" t="s">
        <v>179</v>
      </c>
    </row>
    <row r="42" spans="1:45" x14ac:dyDescent="0.3">
      <c r="A42">
        <v>41</v>
      </c>
      <c r="B42" s="24">
        <v>46216.462997685187</v>
      </c>
      <c r="C42" s="24">
        <v>46216.471030092594</v>
      </c>
      <c r="D42" t="s">
        <v>45</v>
      </c>
      <c r="F42" s="1"/>
      <c r="G42" t="s">
        <v>100</v>
      </c>
      <c r="H42" t="s">
        <v>47</v>
      </c>
      <c r="I42" t="s">
        <v>48</v>
      </c>
      <c r="J42" t="s">
        <v>49</v>
      </c>
      <c r="K42" t="s">
        <v>180</v>
      </c>
      <c r="L42" t="s">
        <v>73</v>
      </c>
      <c r="M42" t="s">
        <v>73</v>
      </c>
      <c r="N42" t="s">
        <v>52</v>
      </c>
      <c r="O42" t="s">
        <v>53</v>
      </c>
      <c r="P42" t="s">
        <v>74</v>
      </c>
      <c r="Q42" t="s">
        <v>75</v>
      </c>
      <c r="R42" t="s">
        <v>76</v>
      </c>
      <c r="S42" t="s">
        <v>57</v>
      </c>
      <c r="T42" t="s">
        <v>58</v>
      </c>
      <c r="U42" t="s">
        <v>59</v>
      </c>
      <c r="V42" t="s">
        <v>59</v>
      </c>
      <c r="W42" t="s">
        <v>59</v>
      </c>
      <c r="X42" t="s">
        <v>59</v>
      </c>
      <c r="Y42" t="s">
        <v>59</v>
      </c>
      <c r="Z42" t="s">
        <v>86</v>
      </c>
      <c r="AA42" t="s">
        <v>59</v>
      </c>
      <c r="AB42" t="s">
        <v>59</v>
      </c>
      <c r="AC42" t="s">
        <v>59</v>
      </c>
      <c r="AD42" t="s">
        <v>60</v>
      </c>
      <c r="AE42" t="s">
        <v>61</v>
      </c>
      <c r="AF42" t="s">
        <v>62</v>
      </c>
      <c r="AG42" t="s">
        <v>63</v>
      </c>
      <c r="AH42" t="s">
        <v>63</v>
      </c>
      <c r="AI42" t="s">
        <v>63</v>
      </c>
      <c r="AJ42" t="s">
        <v>82</v>
      </c>
      <c r="AK42" t="s">
        <v>63</v>
      </c>
      <c r="AL42" t="s">
        <v>66</v>
      </c>
      <c r="AM42" t="s">
        <v>67</v>
      </c>
      <c r="AN42" t="s">
        <v>68</v>
      </c>
      <c r="AO42" t="s">
        <v>63</v>
      </c>
      <c r="AP42" t="s">
        <v>110</v>
      </c>
      <c r="AQ42" t="s">
        <v>63</v>
      </c>
      <c r="AR42" s="25">
        <v>9</v>
      </c>
      <c r="AS42" t="s">
        <v>181</v>
      </c>
    </row>
    <row r="43" spans="1:45" x14ac:dyDescent="0.3">
      <c r="A43">
        <v>42</v>
      </c>
      <c r="B43" s="24">
        <v>46216.461631944447</v>
      </c>
      <c r="C43" s="24">
        <v>46216.471712962964</v>
      </c>
      <c r="D43" t="s">
        <v>45</v>
      </c>
      <c r="F43" s="1"/>
      <c r="G43" t="s">
        <v>46</v>
      </c>
      <c r="H43" t="s">
        <v>47</v>
      </c>
      <c r="I43" t="s">
        <v>101</v>
      </c>
      <c r="J43" t="s">
        <v>162</v>
      </c>
      <c r="K43" t="s">
        <v>182</v>
      </c>
      <c r="L43" t="s">
        <v>51</v>
      </c>
      <c r="M43" t="s">
        <v>51</v>
      </c>
      <c r="N43" t="s">
        <v>116</v>
      </c>
      <c r="O43" t="s">
        <v>53</v>
      </c>
      <c r="P43" t="s">
        <v>74</v>
      </c>
      <c r="Q43" t="s">
        <v>75</v>
      </c>
      <c r="R43" t="s">
        <v>56</v>
      </c>
      <c r="S43" t="s">
        <v>57</v>
      </c>
      <c r="T43" t="s">
        <v>58</v>
      </c>
      <c r="U43" t="s">
        <v>59</v>
      </c>
      <c r="V43" t="s">
        <v>79</v>
      </c>
      <c r="W43" t="s">
        <v>59</v>
      </c>
      <c r="X43" t="s">
        <v>59</v>
      </c>
      <c r="Y43" t="s">
        <v>79</v>
      </c>
      <c r="Z43" t="s">
        <v>87</v>
      </c>
      <c r="AA43" t="s">
        <v>59</v>
      </c>
      <c r="AB43" t="s">
        <v>59</v>
      </c>
      <c r="AC43" t="s">
        <v>59</v>
      </c>
      <c r="AD43" t="s">
        <v>60</v>
      </c>
      <c r="AE43" t="s">
        <v>61</v>
      </c>
      <c r="AF43" t="s">
        <v>62</v>
      </c>
      <c r="AG43" t="s">
        <v>63</v>
      </c>
      <c r="AH43" t="s">
        <v>63</v>
      </c>
      <c r="AI43" t="s">
        <v>63</v>
      </c>
      <c r="AJ43" t="s">
        <v>82</v>
      </c>
      <c r="AK43" t="s">
        <v>63</v>
      </c>
      <c r="AL43" t="s">
        <v>102</v>
      </c>
      <c r="AM43" t="s">
        <v>67</v>
      </c>
      <c r="AN43" t="s">
        <v>68</v>
      </c>
      <c r="AO43" t="s">
        <v>81</v>
      </c>
      <c r="AP43" t="s">
        <v>98</v>
      </c>
      <c r="AQ43" t="s">
        <v>63</v>
      </c>
      <c r="AR43" s="25">
        <v>9</v>
      </c>
      <c r="AS43" t="s">
        <v>183</v>
      </c>
    </row>
    <row r="44" spans="1:45" x14ac:dyDescent="0.3">
      <c r="A44">
        <v>43</v>
      </c>
      <c r="B44" s="24">
        <v>46216.468159722222</v>
      </c>
      <c r="C44" s="24">
        <v>46216.472905092596</v>
      </c>
      <c r="D44" t="s">
        <v>45</v>
      </c>
      <c r="F44" s="1"/>
      <c r="G44" t="s">
        <v>100</v>
      </c>
      <c r="H44" t="s">
        <v>47</v>
      </c>
      <c r="I44" t="s">
        <v>48</v>
      </c>
      <c r="J44" t="s">
        <v>49</v>
      </c>
      <c r="K44" t="s">
        <v>97</v>
      </c>
      <c r="L44" t="s">
        <v>51</v>
      </c>
      <c r="M44" t="s">
        <v>51</v>
      </c>
      <c r="N44" t="s">
        <v>116</v>
      </c>
      <c r="O44" t="s">
        <v>53</v>
      </c>
      <c r="P44" t="s">
        <v>54</v>
      </c>
      <c r="Q44" t="s">
        <v>55</v>
      </c>
      <c r="R44" t="s">
        <v>56</v>
      </c>
      <c r="S44" t="s">
        <v>57</v>
      </c>
      <c r="T44" t="s">
        <v>93</v>
      </c>
      <c r="U44" t="s">
        <v>59</v>
      </c>
      <c r="V44" t="s">
        <v>59</v>
      </c>
      <c r="W44" t="s">
        <v>59</v>
      </c>
      <c r="X44" t="s">
        <v>59</v>
      </c>
      <c r="Y44" t="s">
        <v>59</v>
      </c>
      <c r="Z44" t="s">
        <v>59</v>
      </c>
      <c r="AA44" t="s">
        <v>59</v>
      </c>
      <c r="AB44" t="s">
        <v>59</v>
      </c>
      <c r="AC44" t="s">
        <v>59</v>
      </c>
      <c r="AD44" t="s">
        <v>60</v>
      </c>
      <c r="AE44" t="s">
        <v>61</v>
      </c>
      <c r="AF44" t="s">
        <v>62</v>
      </c>
      <c r="AG44" t="s">
        <v>63</v>
      </c>
      <c r="AH44" t="s">
        <v>63</v>
      </c>
      <c r="AI44" t="s">
        <v>63</v>
      </c>
      <c r="AJ44" t="s">
        <v>65</v>
      </c>
      <c r="AK44" t="s">
        <v>63</v>
      </c>
      <c r="AL44" t="s">
        <v>120</v>
      </c>
      <c r="AM44" t="s">
        <v>67</v>
      </c>
      <c r="AN44" t="s">
        <v>89</v>
      </c>
      <c r="AO44" t="s">
        <v>63</v>
      </c>
      <c r="AP44" t="s">
        <v>69</v>
      </c>
      <c r="AQ44" t="s">
        <v>63</v>
      </c>
      <c r="AR44" s="25">
        <v>10</v>
      </c>
      <c r="AS44" t="s">
        <v>184</v>
      </c>
    </row>
    <row r="45" spans="1:45" x14ac:dyDescent="0.3">
      <c r="A45">
        <v>44</v>
      </c>
      <c r="B45" s="24">
        <v>46216.472627314812</v>
      </c>
      <c r="C45" s="24">
        <v>46216.479432870372</v>
      </c>
      <c r="D45" t="s">
        <v>45</v>
      </c>
      <c r="F45" s="1"/>
      <c r="G45" t="s">
        <v>100</v>
      </c>
      <c r="H45" t="s">
        <v>47</v>
      </c>
      <c r="I45" t="s">
        <v>101</v>
      </c>
      <c r="J45" t="s">
        <v>49</v>
      </c>
      <c r="K45" t="s">
        <v>97</v>
      </c>
      <c r="L45" t="s">
        <v>51</v>
      </c>
      <c r="M45" t="s">
        <v>73</v>
      </c>
      <c r="N45" t="s">
        <v>52</v>
      </c>
      <c r="O45" t="s">
        <v>53</v>
      </c>
      <c r="P45" t="s">
        <v>74</v>
      </c>
      <c r="Q45" t="s">
        <v>75</v>
      </c>
      <c r="R45" t="s">
        <v>76</v>
      </c>
      <c r="S45" t="s">
        <v>77</v>
      </c>
      <c r="T45" t="s">
        <v>58</v>
      </c>
      <c r="U45" t="s">
        <v>79</v>
      </c>
      <c r="V45" t="s">
        <v>79</v>
      </c>
      <c r="W45" t="s">
        <v>79</v>
      </c>
      <c r="X45" t="s">
        <v>79</v>
      </c>
      <c r="Y45" t="s">
        <v>59</v>
      </c>
      <c r="Z45" t="s">
        <v>79</v>
      </c>
      <c r="AA45" t="s">
        <v>79</v>
      </c>
      <c r="AB45" t="s">
        <v>59</v>
      </c>
      <c r="AC45" t="s">
        <v>79</v>
      </c>
      <c r="AD45" t="s">
        <v>60</v>
      </c>
      <c r="AE45" t="s">
        <v>61</v>
      </c>
      <c r="AF45" t="s">
        <v>62</v>
      </c>
      <c r="AG45" t="s">
        <v>63</v>
      </c>
      <c r="AH45" t="s">
        <v>63</v>
      </c>
      <c r="AI45" t="s">
        <v>63</v>
      </c>
      <c r="AJ45" t="s">
        <v>82</v>
      </c>
      <c r="AK45" t="s">
        <v>63</v>
      </c>
      <c r="AL45" t="s">
        <v>120</v>
      </c>
      <c r="AM45" t="s">
        <v>67</v>
      </c>
      <c r="AN45" t="s">
        <v>89</v>
      </c>
      <c r="AO45" t="s">
        <v>63</v>
      </c>
      <c r="AP45" t="s">
        <v>69</v>
      </c>
      <c r="AQ45" t="s">
        <v>63</v>
      </c>
      <c r="AR45" s="25">
        <v>9</v>
      </c>
      <c r="AS45" t="s">
        <v>185</v>
      </c>
    </row>
    <row r="46" spans="1:45" x14ac:dyDescent="0.3">
      <c r="A46">
        <v>45</v>
      </c>
      <c r="B46" s="24">
        <v>46216.47415509259</v>
      </c>
      <c r="C46" s="24">
        <v>46216.481226851851</v>
      </c>
      <c r="D46" t="s">
        <v>45</v>
      </c>
      <c r="F46" s="1"/>
      <c r="G46" t="s">
        <v>100</v>
      </c>
      <c r="H46" t="s">
        <v>91</v>
      </c>
      <c r="I46" t="s">
        <v>48</v>
      </c>
      <c r="J46" t="s">
        <v>186</v>
      </c>
      <c r="K46" t="s">
        <v>97</v>
      </c>
      <c r="L46" t="s">
        <v>51</v>
      </c>
      <c r="M46" t="s">
        <v>73</v>
      </c>
      <c r="N46" t="s">
        <v>52</v>
      </c>
      <c r="O46" t="s">
        <v>53</v>
      </c>
      <c r="P46" t="s">
        <v>74</v>
      </c>
      <c r="Q46" t="s">
        <v>75</v>
      </c>
      <c r="R46" t="s">
        <v>56</v>
      </c>
      <c r="S46" t="s">
        <v>77</v>
      </c>
      <c r="T46" t="s">
        <v>58</v>
      </c>
      <c r="U46" t="s">
        <v>87</v>
      </c>
      <c r="V46" t="s">
        <v>87</v>
      </c>
      <c r="W46" t="s">
        <v>79</v>
      </c>
      <c r="X46" t="s">
        <v>79</v>
      </c>
      <c r="Y46" t="s">
        <v>79</v>
      </c>
      <c r="Z46" t="s">
        <v>79</v>
      </c>
      <c r="AA46" t="s">
        <v>79</v>
      </c>
      <c r="AB46" t="s">
        <v>79</v>
      </c>
      <c r="AC46" t="s">
        <v>79</v>
      </c>
      <c r="AD46" t="s">
        <v>60</v>
      </c>
      <c r="AE46" t="s">
        <v>187</v>
      </c>
      <c r="AF46" t="s">
        <v>62</v>
      </c>
      <c r="AG46" t="s">
        <v>63</v>
      </c>
      <c r="AH46" t="s">
        <v>63</v>
      </c>
      <c r="AI46" t="s">
        <v>63</v>
      </c>
      <c r="AJ46" t="s">
        <v>82</v>
      </c>
      <c r="AK46" t="s">
        <v>63</v>
      </c>
      <c r="AL46" t="s">
        <v>102</v>
      </c>
      <c r="AM46" t="s">
        <v>67</v>
      </c>
      <c r="AN46" t="s">
        <v>68</v>
      </c>
      <c r="AO46" t="s">
        <v>137</v>
      </c>
      <c r="AP46" t="s">
        <v>69</v>
      </c>
      <c r="AQ46" t="s">
        <v>81</v>
      </c>
      <c r="AR46" s="25">
        <v>9</v>
      </c>
      <c r="AS46" t="s">
        <v>188</v>
      </c>
    </row>
    <row r="47" spans="1:45" x14ac:dyDescent="0.3">
      <c r="A47">
        <v>46</v>
      </c>
      <c r="B47" s="24">
        <v>46216.475381944445</v>
      </c>
      <c r="C47" s="24">
        <v>46216.481481481482</v>
      </c>
      <c r="D47" t="s">
        <v>45</v>
      </c>
      <c r="F47" s="1"/>
      <c r="G47" t="s">
        <v>100</v>
      </c>
      <c r="H47" t="s">
        <v>91</v>
      </c>
      <c r="I47" t="s">
        <v>84</v>
      </c>
      <c r="J47" t="s">
        <v>49</v>
      </c>
      <c r="K47" t="s">
        <v>189</v>
      </c>
      <c r="L47" t="s">
        <v>73</v>
      </c>
      <c r="M47" t="s">
        <v>73</v>
      </c>
      <c r="N47" t="s">
        <v>52</v>
      </c>
      <c r="O47" t="s">
        <v>53</v>
      </c>
      <c r="P47" t="s">
        <v>74</v>
      </c>
      <c r="Q47" t="s">
        <v>75</v>
      </c>
      <c r="R47" t="s">
        <v>76</v>
      </c>
      <c r="S47" t="s">
        <v>77</v>
      </c>
      <c r="T47" t="s">
        <v>78</v>
      </c>
      <c r="U47" t="s">
        <v>87</v>
      </c>
      <c r="V47" t="s">
        <v>87</v>
      </c>
      <c r="W47" t="s">
        <v>59</v>
      </c>
      <c r="X47" t="s">
        <v>79</v>
      </c>
      <c r="Y47" t="s">
        <v>59</v>
      </c>
      <c r="Z47" t="s">
        <v>79</v>
      </c>
      <c r="AA47" t="s">
        <v>59</v>
      </c>
      <c r="AB47" t="s">
        <v>59</v>
      </c>
      <c r="AC47" t="s">
        <v>59</v>
      </c>
      <c r="AD47" t="s">
        <v>60</v>
      </c>
      <c r="AE47" t="s">
        <v>88</v>
      </c>
      <c r="AF47" t="s">
        <v>62</v>
      </c>
      <c r="AG47" t="s">
        <v>81</v>
      </c>
      <c r="AH47" t="s">
        <v>63</v>
      </c>
      <c r="AI47" t="s">
        <v>81</v>
      </c>
      <c r="AJ47" t="s">
        <v>82</v>
      </c>
      <c r="AK47" t="s">
        <v>63</v>
      </c>
      <c r="AL47" t="s">
        <v>120</v>
      </c>
      <c r="AM47" t="s">
        <v>137</v>
      </c>
      <c r="AN47" t="s">
        <v>68</v>
      </c>
      <c r="AO47" t="s">
        <v>81</v>
      </c>
      <c r="AP47" t="s">
        <v>107</v>
      </c>
      <c r="AQ47" t="s">
        <v>81</v>
      </c>
      <c r="AR47" s="25">
        <v>8</v>
      </c>
      <c r="AS47" t="s">
        <v>190</v>
      </c>
    </row>
    <row r="48" spans="1:45" x14ac:dyDescent="0.3">
      <c r="A48">
        <v>47</v>
      </c>
      <c r="B48" s="24">
        <v>46216.472708333335</v>
      </c>
      <c r="C48" s="24">
        <v>46216.482291666667</v>
      </c>
      <c r="D48" t="s">
        <v>45</v>
      </c>
      <c r="F48" s="1"/>
      <c r="G48" t="s">
        <v>100</v>
      </c>
      <c r="H48" t="s">
        <v>47</v>
      </c>
      <c r="I48" t="s">
        <v>101</v>
      </c>
      <c r="J48" t="s">
        <v>49</v>
      </c>
      <c r="K48" t="s">
        <v>109</v>
      </c>
      <c r="L48" t="s">
        <v>51</v>
      </c>
      <c r="M48" t="s">
        <v>51</v>
      </c>
      <c r="N48" t="s">
        <v>52</v>
      </c>
      <c r="O48" t="s">
        <v>53</v>
      </c>
      <c r="P48" t="s">
        <v>74</v>
      </c>
      <c r="Q48" t="s">
        <v>75</v>
      </c>
      <c r="R48" t="s">
        <v>76</v>
      </c>
      <c r="S48" t="s">
        <v>77</v>
      </c>
      <c r="T48" t="s">
        <v>93</v>
      </c>
      <c r="U48" t="s">
        <v>79</v>
      </c>
      <c r="V48" t="s">
        <v>59</v>
      </c>
      <c r="W48" t="s">
        <v>59</v>
      </c>
      <c r="X48" t="s">
        <v>87</v>
      </c>
      <c r="Y48" t="s">
        <v>59</v>
      </c>
      <c r="Z48" t="s">
        <v>86</v>
      </c>
      <c r="AA48" t="s">
        <v>79</v>
      </c>
      <c r="AB48" t="s">
        <v>79</v>
      </c>
      <c r="AC48" t="s">
        <v>86</v>
      </c>
      <c r="AD48" t="s">
        <v>187</v>
      </c>
      <c r="AE48" t="s">
        <v>61</v>
      </c>
      <c r="AF48" t="s">
        <v>62</v>
      </c>
      <c r="AG48" t="s">
        <v>63</v>
      </c>
      <c r="AH48" t="s">
        <v>63</v>
      </c>
      <c r="AI48" t="s">
        <v>81</v>
      </c>
      <c r="AJ48" t="s">
        <v>82</v>
      </c>
      <c r="AK48" t="s">
        <v>63</v>
      </c>
      <c r="AL48" t="s">
        <v>102</v>
      </c>
      <c r="AM48" t="s">
        <v>67</v>
      </c>
      <c r="AN48" t="s">
        <v>89</v>
      </c>
      <c r="AO48" t="s">
        <v>81</v>
      </c>
      <c r="AP48" t="s">
        <v>107</v>
      </c>
      <c r="AQ48" t="s">
        <v>81</v>
      </c>
      <c r="AR48" s="25">
        <v>8</v>
      </c>
      <c r="AS48" t="s">
        <v>191</v>
      </c>
    </row>
    <row r="49" spans="1:45" x14ac:dyDescent="0.3">
      <c r="A49">
        <v>48</v>
      </c>
      <c r="B49" s="24">
        <v>46216.474999999999</v>
      </c>
      <c r="C49" s="24">
        <v>46216.482939814814</v>
      </c>
      <c r="D49" t="s">
        <v>45</v>
      </c>
      <c r="F49" s="1"/>
      <c r="G49" t="s">
        <v>100</v>
      </c>
      <c r="H49" t="s">
        <v>91</v>
      </c>
      <c r="I49" t="s">
        <v>48</v>
      </c>
      <c r="J49" t="s">
        <v>49</v>
      </c>
      <c r="K49" t="s">
        <v>192</v>
      </c>
      <c r="L49" t="s">
        <v>73</v>
      </c>
      <c r="M49" t="s">
        <v>51</v>
      </c>
      <c r="N49" t="s">
        <v>52</v>
      </c>
      <c r="O49" t="s">
        <v>53</v>
      </c>
      <c r="P49" t="s">
        <v>54</v>
      </c>
      <c r="Q49" t="s">
        <v>55</v>
      </c>
      <c r="R49" t="s">
        <v>76</v>
      </c>
      <c r="S49" t="s">
        <v>57</v>
      </c>
      <c r="T49" t="s">
        <v>58</v>
      </c>
      <c r="U49" t="s">
        <v>59</v>
      </c>
      <c r="V49" t="s">
        <v>79</v>
      </c>
      <c r="W49" t="s">
        <v>59</v>
      </c>
      <c r="X49" t="s">
        <v>59</v>
      </c>
      <c r="Y49" t="s">
        <v>59</v>
      </c>
      <c r="Z49" t="s">
        <v>79</v>
      </c>
      <c r="AA49" t="s">
        <v>59</v>
      </c>
      <c r="AB49" t="s">
        <v>59</v>
      </c>
      <c r="AC49" t="s">
        <v>59</v>
      </c>
      <c r="AD49" t="s">
        <v>60</v>
      </c>
      <c r="AE49" t="s">
        <v>61</v>
      </c>
      <c r="AF49" t="s">
        <v>62</v>
      </c>
      <c r="AG49" t="s">
        <v>64</v>
      </c>
      <c r="AH49" t="s">
        <v>63</v>
      </c>
      <c r="AI49" t="s">
        <v>63</v>
      </c>
      <c r="AJ49" t="s">
        <v>65</v>
      </c>
      <c r="AK49" t="s">
        <v>63</v>
      </c>
      <c r="AL49" t="s">
        <v>66</v>
      </c>
      <c r="AM49" t="s">
        <v>67</v>
      </c>
      <c r="AN49" t="s">
        <v>89</v>
      </c>
      <c r="AO49" t="s">
        <v>63</v>
      </c>
      <c r="AP49" t="s">
        <v>69</v>
      </c>
      <c r="AQ49" t="s">
        <v>63</v>
      </c>
      <c r="AR49" s="25">
        <v>10</v>
      </c>
      <c r="AS49" t="s">
        <v>193</v>
      </c>
    </row>
    <row r="50" spans="1:45" x14ac:dyDescent="0.3">
      <c r="A50">
        <v>49</v>
      </c>
      <c r="B50" s="24">
        <v>46216.473796296297</v>
      </c>
      <c r="C50" s="24">
        <v>46216.485625000001</v>
      </c>
      <c r="D50" t="s">
        <v>45</v>
      </c>
      <c r="F50" s="1"/>
      <c r="G50" t="s">
        <v>100</v>
      </c>
      <c r="H50" t="s">
        <v>47</v>
      </c>
      <c r="I50" t="s">
        <v>101</v>
      </c>
      <c r="J50" t="s">
        <v>49</v>
      </c>
      <c r="K50" t="s">
        <v>194</v>
      </c>
      <c r="L50" t="s">
        <v>73</v>
      </c>
      <c r="M50" t="s">
        <v>73</v>
      </c>
      <c r="N50" t="s">
        <v>52</v>
      </c>
      <c r="O50" t="s">
        <v>53</v>
      </c>
      <c r="P50" t="s">
        <v>74</v>
      </c>
      <c r="Q50" t="s">
        <v>75</v>
      </c>
      <c r="R50" t="s">
        <v>76</v>
      </c>
      <c r="S50" t="s">
        <v>77</v>
      </c>
      <c r="T50" t="s">
        <v>58</v>
      </c>
      <c r="U50" t="s">
        <v>87</v>
      </c>
      <c r="V50" t="s">
        <v>87</v>
      </c>
      <c r="W50" t="s">
        <v>59</v>
      </c>
      <c r="X50" t="s">
        <v>59</v>
      </c>
      <c r="Y50" t="s">
        <v>59</v>
      </c>
      <c r="Z50" t="s">
        <v>79</v>
      </c>
      <c r="AA50" t="s">
        <v>59</v>
      </c>
      <c r="AB50" t="s">
        <v>59</v>
      </c>
      <c r="AC50" t="s">
        <v>86</v>
      </c>
      <c r="AD50" t="s">
        <v>60</v>
      </c>
      <c r="AE50" t="s">
        <v>61</v>
      </c>
      <c r="AF50" t="s">
        <v>62</v>
      </c>
      <c r="AG50" t="s">
        <v>63</v>
      </c>
      <c r="AH50" t="s">
        <v>63</v>
      </c>
      <c r="AI50" t="s">
        <v>63</v>
      </c>
      <c r="AJ50" t="s">
        <v>82</v>
      </c>
      <c r="AK50" t="s">
        <v>63</v>
      </c>
      <c r="AL50" t="s">
        <v>66</v>
      </c>
      <c r="AM50" t="s">
        <v>67</v>
      </c>
      <c r="AN50" t="s">
        <v>68</v>
      </c>
      <c r="AO50" t="s">
        <v>81</v>
      </c>
      <c r="AP50" t="s">
        <v>98</v>
      </c>
      <c r="AQ50" t="s">
        <v>63</v>
      </c>
      <c r="AR50" s="25">
        <v>8</v>
      </c>
      <c r="AS50" t="s">
        <v>195</v>
      </c>
    </row>
    <row r="51" spans="1:45" x14ac:dyDescent="0.3">
      <c r="A51">
        <v>50</v>
      </c>
      <c r="B51" s="24">
        <v>46216.478842592594</v>
      </c>
      <c r="C51" s="24">
        <v>46216.491365740738</v>
      </c>
      <c r="D51" t="s">
        <v>45</v>
      </c>
      <c r="F51" s="1"/>
      <c r="G51" t="s">
        <v>100</v>
      </c>
      <c r="H51" t="s">
        <v>91</v>
      </c>
      <c r="I51" t="s">
        <v>48</v>
      </c>
      <c r="J51" t="s">
        <v>49</v>
      </c>
      <c r="K51" t="s">
        <v>196</v>
      </c>
      <c r="L51" t="s">
        <v>73</v>
      </c>
      <c r="M51" t="s">
        <v>146</v>
      </c>
      <c r="N51" t="s">
        <v>52</v>
      </c>
      <c r="O51" t="s">
        <v>53</v>
      </c>
      <c r="P51" t="s">
        <v>74</v>
      </c>
      <c r="Q51" t="s">
        <v>75</v>
      </c>
      <c r="R51" t="s">
        <v>76</v>
      </c>
      <c r="S51" t="s">
        <v>57</v>
      </c>
      <c r="T51" t="s">
        <v>58</v>
      </c>
      <c r="U51" t="s">
        <v>59</v>
      </c>
      <c r="V51" t="s">
        <v>86</v>
      </c>
      <c r="W51" t="s">
        <v>79</v>
      </c>
      <c r="X51" t="s">
        <v>59</v>
      </c>
      <c r="Y51" t="s">
        <v>59</v>
      </c>
      <c r="Z51" t="s">
        <v>86</v>
      </c>
      <c r="AA51" t="s">
        <v>79</v>
      </c>
      <c r="AB51" t="s">
        <v>79</v>
      </c>
      <c r="AC51" t="s">
        <v>59</v>
      </c>
      <c r="AD51" t="s">
        <v>60</v>
      </c>
      <c r="AE51" t="s">
        <v>61</v>
      </c>
      <c r="AF51" t="s">
        <v>62</v>
      </c>
      <c r="AG51" t="s">
        <v>63</v>
      </c>
      <c r="AH51" t="s">
        <v>63</v>
      </c>
      <c r="AI51" t="s">
        <v>81</v>
      </c>
      <c r="AJ51" t="s">
        <v>82</v>
      </c>
      <c r="AK51" t="s">
        <v>63</v>
      </c>
      <c r="AL51" t="s">
        <v>66</v>
      </c>
      <c r="AM51" t="s">
        <v>67</v>
      </c>
      <c r="AN51" t="s">
        <v>68</v>
      </c>
      <c r="AO51" t="s">
        <v>137</v>
      </c>
      <c r="AP51" t="s">
        <v>107</v>
      </c>
      <c r="AQ51" t="s">
        <v>137</v>
      </c>
      <c r="AR51" s="25">
        <v>8</v>
      </c>
      <c r="AS51" t="s">
        <v>197</v>
      </c>
    </row>
    <row r="52" spans="1:45" x14ac:dyDescent="0.3">
      <c r="A52">
        <v>51</v>
      </c>
      <c r="B52" s="24">
        <v>46216.487824074073</v>
      </c>
      <c r="C52" s="24">
        <v>46216.493923611109</v>
      </c>
      <c r="D52" t="s">
        <v>45</v>
      </c>
      <c r="F52" s="1"/>
      <c r="G52" t="s">
        <v>100</v>
      </c>
      <c r="H52" t="s">
        <v>47</v>
      </c>
      <c r="I52" t="s">
        <v>101</v>
      </c>
      <c r="J52" t="s">
        <v>104</v>
      </c>
      <c r="K52" t="s">
        <v>198</v>
      </c>
      <c r="L52" t="s">
        <v>146</v>
      </c>
      <c r="M52" t="s">
        <v>146</v>
      </c>
      <c r="N52" t="s">
        <v>199</v>
      </c>
      <c r="O52" t="s">
        <v>53</v>
      </c>
      <c r="P52" t="s">
        <v>74</v>
      </c>
      <c r="Q52" t="s">
        <v>75</v>
      </c>
      <c r="R52" t="s">
        <v>76</v>
      </c>
      <c r="S52" t="s">
        <v>77</v>
      </c>
      <c r="T52" t="s">
        <v>58</v>
      </c>
      <c r="U52" t="s">
        <v>59</v>
      </c>
      <c r="V52" t="s">
        <v>59</v>
      </c>
      <c r="W52" t="s">
        <v>59</v>
      </c>
      <c r="X52" t="s">
        <v>86</v>
      </c>
      <c r="Y52" t="s">
        <v>59</v>
      </c>
      <c r="Z52" t="s">
        <v>59</v>
      </c>
      <c r="AA52" t="s">
        <v>59</v>
      </c>
      <c r="AB52" t="s">
        <v>59</v>
      </c>
      <c r="AC52" t="s">
        <v>59</v>
      </c>
      <c r="AD52" t="s">
        <v>98</v>
      </c>
      <c r="AE52" t="s">
        <v>94</v>
      </c>
      <c r="AF52" t="s">
        <v>147</v>
      </c>
      <c r="AG52" t="s">
        <v>81</v>
      </c>
      <c r="AH52" t="s">
        <v>137</v>
      </c>
      <c r="AI52" t="s">
        <v>137</v>
      </c>
      <c r="AJ52" t="s">
        <v>82</v>
      </c>
      <c r="AK52" t="s">
        <v>137</v>
      </c>
      <c r="AL52" t="s">
        <v>137</v>
      </c>
      <c r="AM52" t="s">
        <v>137</v>
      </c>
      <c r="AN52" t="s">
        <v>137</v>
      </c>
      <c r="AO52" t="s">
        <v>137</v>
      </c>
      <c r="AP52" t="s">
        <v>107</v>
      </c>
      <c r="AQ52" t="s">
        <v>137</v>
      </c>
      <c r="AR52" s="25">
        <v>6</v>
      </c>
      <c r="AS52" t="s">
        <v>200</v>
      </c>
    </row>
    <row r="53" spans="1:45" x14ac:dyDescent="0.3">
      <c r="A53">
        <v>52</v>
      </c>
      <c r="B53" s="24">
        <v>46216.453958333332</v>
      </c>
      <c r="C53" s="24">
        <v>46216.496793981481</v>
      </c>
      <c r="D53" t="s">
        <v>45</v>
      </c>
      <c r="F53" s="1"/>
      <c r="G53" t="s">
        <v>100</v>
      </c>
      <c r="H53" t="s">
        <v>47</v>
      </c>
      <c r="I53" t="s">
        <v>101</v>
      </c>
      <c r="J53" t="s">
        <v>49</v>
      </c>
      <c r="K53" t="s">
        <v>201</v>
      </c>
      <c r="L53" t="s">
        <v>73</v>
      </c>
      <c r="M53" t="s">
        <v>51</v>
      </c>
      <c r="N53" t="s">
        <v>52</v>
      </c>
      <c r="O53" t="s">
        <v>53</v>
      </c>
      <c r="P53" t="s">
        <v>74</v>
      </c>
      <c r="Q53" t="s">
        <v>75</v>
      </c>
      <c r="R53" t="s">
        <v>76</v>
      </c>
      <c r="S53" t="s">
        <v>57</v>
      </c>
      <c r="T53" t="s">
        <v>58</v>
      </c>
      <c r="U53" t="s">
        <v>79</v>
      </c>
      <c r="V53" t="s">
        <v>79</v>
      </c>
      <c r="W53" t="s">
        <v>59</v>
      </c>
      <c r="X53" t="s">
        <v>59</v>
      </c>
      <c r="Y53" t="s">
        <v>59</v>
      </c>
      <c r="Z53" t="s">
        <v>59</v>
      </c>
      <c r="AA53" t="s">
        <v>59</v>
      </c>
      <c r="AB53" t="s">
        <v>79</v>
      </c>
      <c r="AC53" t="s">
        <v>79</v>
      </c>
      <c r="AD53" t="s">
        <v>60</v>
      </c>
      <c r="AE53" t="s">
        <v>61</v>
      </c>
      <c r="AF53" t="s">
        <v>62</v>
      </c>
      <c r="AG53" t="s">
        <v>63</v>
      </c>
      <c r="AH53" t="s">
        <v>63</v>
      </c>
      <c r="AI53" t="s">
        <v>81</v>
      </c>
      <c r="AJ53" t="s">
        <v>82</v>
      </c>
      <c r="AK53" t="s">
        <v>63</v>
      </c>
      <c r="AL53" t="s">
        <v>66</v>
      </c>
      <c r="AM53" t="s">
        <v>67</v>
      </c>
      <c r="AN53" t="s">
        <v>68</v>
      </c>
      <c r="AO53" t="s">
        <v>81</v>
      </c>
      <c r="AP53" t="s">
        <v>107</v>
      </c>
      <c r="AQ53" t="s">
        <v>63</v>
      </c>
      <c r="AR53" s="25">
        <v>10</v>
      </c>
      <c r="AS53" t="s">
        <v>202</v>
      </c>
    </row>
    <row r="54" spans="1:45" x14ac:dyDescent="0.3">
      <c r="A54">
        <v>53</v>
      </c>
      <c r="B54" s="24">
        <v>46216.493796296294</v>
      </c>
      <c r="C54" s="24">
        <v>46216.503449074073</v>
      </c>
      <c r="D54" t="s">
        <v>45</v>
      </c>
      <c r="F54" s="1"/>
      <c r="G54" t="s">
        <v>100</v>
      </c>
      <c r="H54" t="s">
        <v>47</v>
      </c>
      <c r="I54" t="s">
        <v>101</v>
      </c>
      <c r="J54" t="s">
        <v>49</v>
      </c>
      <c r="K54" t="s">
        <v>203</v>
      </c>
      <c r="L54" t="s">
        <v>73</v>
      </c>
      <c r="M54" t="s">
        <v>146</v>
      </c>
      <c r="N54" t="s">
        <v>52</v>
      </c>
      <c r="O54" t="s">
        <v>53</v>
      </c>
      <c r="P54" t="s">
        <v>74</v>
      </c>
      <c r="Q54" t="s">
        <v>75</v>
      </c>
      <c r="R54" t="s">
        <v>76</v>
      </c>
      <c r="S54" t="s">
        <v>77</v>
      </c>
      <c r="T54" t="s">
        <v>58</v>
      </c>
      <c r="U54" t="s">
        <v>87</v>
      </c>
      <c r="V54" t="s">
        <v>87</v>
      </c>
      <c r="W54" t="s">
        <v>79</v>
      </c>
      <c r="X54" t="s">
        <v>79</v>
      </c>
      <c r="Y54" t="s">
        <v>87</v>
      </c>
      <c r="Z54" t="s">
        <v>87</v>
      </c>
      <c r="AA54" t="s">
        <v>87</v>
      </c>
      <c r="AB54" t="s">
        <v>87</v>
      </c>
      <c r="AC54" t="s">
        <v>87</v>
      </c>
      <c r="AD54" t="s">
        <v>60</v>
      </c>
      <c r="AE54" t="s">
        <v>61</v>
      </c>
      <c r="AF54" t="s">
        <v>173</v>
      </c>
      <c r="AG54" t="s">
        <v>63</v>
      </c>
      <c r="AH54" t="s">
        <v>63</v>
      </c>
      <c r="AI54" t="s">
        <v>63</v>
      </c>
      <c r="AJ54" t="s">
        <v>82</v>
      </c>
      <c r="AK54" t="s">
        <v>63</v>
      </c>
      <c r="AL54" t="s">
        <v>120</v>
      </c>
      <c r="AM54" t="s">
        <v>67</v>
      </c>
      <c r="AN54" t="s">
        <v>68</v>
      </c>
      <c r="AO54" t="s">
        <v>81</v>
      </c>
      <c r="AP54" t="s">
        <v>107</v>
      </c>
      <c r="AQ54" t="s">
        <v>81</v>
      </c>
      <c r="AR54" s="25">
        <v>9</v>
      </c>
      <c r="AS54" t="s">
        <v>204</v>
      </c>
    </row>
    <row r="55" spans="1:45" x14ac:dyDescent="0.3">
      <c r="A55">
        <v>54</v>
      </c>
      <c r="B55" s="24">
        <v>46216.492905092593</v>
      </c>
      <c r="C55" s="24">
        <v>46216.504432870373</v>
      </c>
      <c r="D55" t="s">
        <v>45</v>
      </c>
      <c r="F55" s="1"/>
      <c r="G55" t="s">
        <v>100</v>
      </c>
      <c r="H55" t="s">
        <v>91</v>
      </c>
      <c r="I55" t="s">
        <v>101</v>
      </c>
      <c r="J55" t="s">
        <v>162</v>
      </c>
      <c r="K55" t="s">
        <v>205</v>
      </c>
      <c r="L55" t="s">
        <v>51</v>
      </c>
      <c r="M55" t="s">
        <v>146</v>
      </c>
      <c r="N55" t="s">
        <v>116</v>
      </c>
      <c r="O55" t="s">
        <v>53</v>
      </c>
      <c r="P55" t="s">
        <v>74</v>
      </c>
      <c r="Q55" t="s">
        <v>55</v>
      </c>
      <c r="R55" t="s">
        <v>56</v>
      </c>
      <c r="S55" t="s">
        <v>77</v>
      </c>
      <c r="T55" t="s">
        <v>93</v>
      </c>
      <c r="U55" t="s">
        <v>59</v>
      </c>
      <c r="V55" t="s">
        <v>79</v>
      </c>
      <c r="W55" t="s">
        <v>59</v>
      </c>
      <c r="X55" t="s">
        <v>59</v>
      </c>
      <c r="Y55" t="s">
        <v>79</v>
      </c>
      <c r="Z55" t="s">
        <v>79</v>
      </c>
      <c r="AA55" t="s">
        <v>59</v>
      </c>
      <c r="AB55" t="s">
        <v>79</v>
      </c>
      <c r="AC55" t="s">
        <v>59</v>
      </c>
      <c r="AD55" t="s">
        <v>60</v>
      </c>
      <c r="AE55" t="s">
        <v>61</v>
      </c>
      <c r="AF55" t="s">
        <v>62</v>
      </c>
      <c r="AG55" t="s">
        <v>81</v>
      </c>
      <c r="AH55" t="s">
        <v>81</v>
      </c>
      <c r="AI55" t="s">
        <v>81</v>
      </c>
      <c r="AJ55" t="s">
        <v>82</v>
      </c>
      <c r="AK55" t="s">
        <v>81</v>
      </c>
      <c r="AL55" t="s">
        <v>102</v>
      </c>
      <c r="AM55" t="s">
        <v>137</v>
      </c>
      <c r="AN55" t="s">
        <v>68</v>
      </c>
      <c r="AO55" t="s">
        <v>81</v>
      </c>
      <c r="AP55" t="s">
        <v>107</v>
      </c>
      <c r="AQ55" t="s">
        <v>81</v>
      </c>
      <c r="AR55" s="25">
        <v>8</v>
      </c>
      <c r="AS55" t="s">
        <v>206</v>
      </c>
    </row>
    <row r="56" spans="1:45" x14ac:dyDescent="0.3">
      <c r="A56">
        <v>55</v>
      </c>
      <c r="B56" s="24">
        <v>46216.499988425923</v>
      </c>
      <c r="C56" s="24">
        <v>46216.506064814814</v>
      </c>
      <c r="D56" t="s">
        <v>45</v>
      </c>
      <c r="F56" s="1"/>
      <c r="G56" t="s">
        <v>46</v>
      </c>
      <c r="H56" t="s">
        <v>47</v>
      </c>
      <c r="I56" t="s">
        <v>113</v>
      </c>
      <c r="J56" t="s">
        <v>186</v>
      </c>
      <c r="K56" t="s">
        <v>160</v>
      </c>
      <c r="L56" t="s">
        <v>51</v>
      </c>
      <c r="M56" t="s">
        <v>51</v>
      </c>
      <c r="N56" t="s">
        <v>52</v>
      </c>
      <c r="O56" t="s">
        <v>53</v>
      </c>
      <c r="P56" t="s">
        <v>74</v>
      </c>
      <c r="Q56" t="s">
        <v>75</v>
      </c>
      <c r="R56" t="s">
        <v>76</v>
      </c>
      <c r="S56" t="s">
        <v>57</v>
      </c>
      <c r="T56" t="s">
        <v>58</v>
      </c>
      <c r="U56" t="s">
        <v>86</v>
      </c>
      <c r="V56" t="s">
        <v>59</v>
      </c>
      <c r="W56" t="s">
        <v>59</v>
      </c>
      <c r="X56" t="s">
        <v>59</v>
      </c>
      <c r="Y56" t="s">
        <v>59</v>
      </c>
      <c r="Z56" t="s">
        <v>59</v>
      </c>
      <c r="AA56" t="s">
        <v>59</v>
      </c>
      <c r="AB56" t="s">
        <v>59</v>
      </c>
      <c r="AC56" t="s">
        <v>59</v>
      </c>
      <c r="AD56" t="s">
        <v>60</v>
      </c>
      <c r="AE56" t="s">
        <v>61</v>
      </c>
      <c r="AF56" t="s">
        <v>62</v>
      </c>
      <c r="AG56" t="s">
        <v>63</v>
      </c>
      <c r="AH56" t="s">
        <v>63</v>
      </c>
      <c r="AI56" t="s">
        <v>63</v>
      </c>
      <c r="AJ56" t="s">
        <v>82</v>
      </c>
      <c r="AK56" t="s">
        <v>63</v>
      </c>
      <c r="AL56" t="s">
        <v>120</v>
      </c>
      <c r="AM56" t="s">
        <v>67</v>
      </c>
      <c r="AN56" t="s">
        <v>89</v>
      </c>
      <c r="AO56" t="s">
        <v>63</v>
      </c>
      <c r="AP56" t="s">
        <v>107</v>
      </c>
      <c r="AQ56" t="s">
        <v>63</v>
      </c>
      <c r="AR56" s="25">
        <v>9</v>
      </c>
      <c r="AS56" t="s">
        <v>207</v>
      </c>
    </row>
    <row r="57" spans="1:45" x14ac:dyDescent="0.3">
      <c r="A57">
        <v>56</v>
      </c>
      <c r="B57" s="24">
        <v>46216.499386574076</v>
      </c>
      <c r="C57" s="24">
        <v>46216.50608796296</v>
      </c>
      <c r="D57" t="s">
        <v>45</v>
      </c>
      <c r="F57" s="1"/>
      <c r="G57" t="s">
        <v>46</v>
      </c>
      <c r="H57" t="s">
        <v>47</v>
      </c>
      <c r="I57" t="s">
        <v>101</v>
      </c>
      <c r="J57" t="s">
        <v>71</v>
      </c>
      <c r="K57" t="s">
        <v>97</v>
      </c>
      <c r="L57" t="s">
        <v>73</v>
      </c>
      <c r="M57" t="s">
        <v>73</v>
      </c>
      <c r="N57" t="s">
        <v>52</v>
      </c>
      <c r="O57" t="s">
        <v>53</v>
      </c>
      <c r="P57" t="s">
        <v>74</v>
      </c>
      <c r="Q57" t="s">
        <v>75</v>
      </c>
      <c r="R57" t="s">
        <v>76</v>
      </c>
      <c r="S57" t="s">
        <v>77</v>
      </c>
      <c r="T57" t="s">
        <v>58</v>
      </c>
      <c r="U57" t="s">
        <v>59</v>
      </c>
      <c r="V57" t="s">
        <v>79</v>
      </c>
      <c r="W57" t="s">
        <v>59</v>
      </c>
      <c r="X57" t="s">
        <v>59</v>
      </c>
      <c r="Y57" t="s">
        <v>59</v>
      </c>
      <c r="Z57" t="s">
        <v>79</v>
      </c>
      <c r="AA57" t="s">
        <v>59</v>
      </c>
      <c r="AB57" t="s">
        <v>59</v>
      </c>
      <c r="AC57" t="s">
        <v>59</v>
      </c>
      <c r="AD57" t="s">
        <v>60</v>
      </c>
      <c r="AE57" t="s">
        <v>61</v>
      </c>
      <c r="AF57" t="s">
        <v>147</v>
      </c>
      <c r="AG57" t="s">
        <v>81</v>
      </c>
      <c r="AH57" t="s">
        <v>63</v>
      </c>
      <c r="AI57" t="s">
        <v>63</v>
      </c>
      <c r="AJ57" t="s">
        <v>82</v>
      </c>
      <c r="AK57" t="s">
        <v>81</v>
      </c>
      <c r="AL57" t="s">
        <v>102</v>
      </c>
      <c r="AM57" t="s">
        <v>67</v>
      </c>
      <c r="AN57" t="s">
        <v>68</v>
      </c>
      <c r="AO57" t="s">
        <v>81</v>
      </c>
      <c r="AP57" t="s">
        <v>107</v>
      </c>
      <c r="AQ57" t="s">
        <v>63</v>
      </c>
      <c r="AR57" s="25">
        <v>10</v>
      </c>
      <c r="AS57" t="s">
        <v>208</v>
      </c>
    </row>
    <row r="58" spans="1:45" x14ac:dyDescent="0.3">
      <c r="A58">
        <v>57</v>
      </c>
      <c r="B58" s="24">
        <v>46216.496377314812</v>
      </c>
      <c r="C58" s="24">
        <v>46216.510439814818</v>
      </c>
      <c r="D58" t="s">
        <v>45</v>
      </c>
      <c r="F58" s="1"/>
      <c r="G58" t="s">
        <v>100</v>
      </c>
      <c r="H58" t="s">
        <v>91</v>
      </c>
      <c r="I58" t="s">
        <v>48</v>
      </c>
      <c r="J58" t="s">
        <v>49</v>
      </c>
      <c r="K58" t="s">
        <v>209</v>
      </c>
      <c r="L58" t="s">
        <v>146</v>
      </c>
      <c r="M58" t="s">
        <v>146</v>
      </c>
      <c r="N58" t="s">
        <v>199</v>
      </c>
      <c r="O58" t="s">
        <v>53</v>
      </c>
      <c r="P58" t="s">
        <v>74</v>
      </c>
      <c r="Q58" t="s">
        <v>75</v>
      </c>
      <c r="R58" t="s">
        <v>76</v>
      </c>
      <c r="S58" t="s">
        <v>77</v>
      </c>
      <c r="T58" t="s">
        <v>58</v>
      </c>
      <c r="U58" t="s">
        <v>59</v>
      </c>
      <c r="V58" t="s">
        <v>79</v>
      </c>
      <c r="W58" t="s">
        <v>79</v>
      </c>
      <c r="X58" t="s">
        <v>59</v>
      </c>
      <c r="Y58" t="s">
        <v>59</v>
      </c>
      <c r="Z58" t="s">
        <v>59</v>
      </c>
      <c r="AA58" t="s">
        <v>59</v>
      </c>
      <c r="AB58" t="s">
        <v>59</v>
      </c>
      <c r="AC58" t="s">
        <v>87</v>
      </c>
      <c r="AD58" t="s">
        <v>60</v>
      </c>
      <c r="AE58" t="s">
        <v>88</v>
      </c>
      <c r="AF58" t="s">
        <v>62</v>
      </c>
      <c r="AG58" t="s">
        <v>81</v>
      </c>
      <c r="AH58" t="s">
        <v>81</v>
      </c>
      <c r="AI58" t="s">
        <v>81</v>
      </c>
      <c r="AJ58" t="s">
        <v>82</v>
      </c>
      <c r="AK58" t="s">
        <v>81</v>
      </c>
      <c r="AL58" t="s">
        <v>120</v>
      </c>
      <c r="AM58" t="s">
        <v>67</v>
      </c>
      <c r="AN58" t="s">
        <v>68</v>
      </c>
      <c r="AO58" t="s">
        <v>81</v>
      </c>
      <c r="AP58" t="s">
        <v>107</v>
      </c>
      <c r="AQ58" t="s">
        <v>137</v>
      </c>
      <c r="AR58" s="25">
        <v>9</v>
      </c>
      <c r="AS58" t="s">
        <v>210</v>
      </c>
    </row>
    <row r="59" spans="1:45" x14ac:dyDescent="0.3">
      <c r="A59">
        <v>58</v>
      </c>
      <c r="B59" s="24">
        <v>46216.501539351855</v>
      </c>
      <c r="C59" s="24">
        <v>46216.514178240737</v>
      </c>
      <c r="D59" t="s">
        <v>45</v>
      </c>
      <c r="F59" s="1"/>
      <c r="G59" t="s">
        <v>46</v>
      </c>
      <c r="H59" t="s">
        <v>47</v>
      </c>
      <c r="I59" t="s">
        <v>101</v>
      </c>
      <c r="J59" t="s">
        <v>49</v>
      </c>
      <c r="K59" t="s">
        <v>211</v>
      </c>
      <c r="L59" t="s">
        <v>51</v>
      </c>
      <c r="M59" t="s">
        <v>51</v>
      </c>
      <c r="N59" t="s">
        <v>116</v>
      </c>
      <c r="O59" t="s">
        <v>53</v>
      </c>
      <c r="P59" t="s">
        <v>54</v>
      </c>
      <c r="Q59" t="s">
        <v>55</v>
      </c>
      <c r="R59" t="s">
        <v>56</v>
      </c>
      <c r="S59" t="s">
        <v>57</v>
      </c>
      <c r="T59" t="s">
        <v>93</v>
      </c>
      <c r="U59" t="s">
        <v>59</v>
      </c>
      <c r="V59" t="s">
        <v>59</v>
      </c>
      <c r="W59" t="s">
        <v>59</v>
      </c>
      <c r="X59" t="s">
        <v>59</v>
      </c>
      <c r="Y59" t="s">
        <v>59</v>
      </c>
      <c r="Z59" t="s">
        <v>87</v>
      </c>
      <c r="AA59" t="s">
        <v>59</v>
      </c>
      <c r="AB59" t="s">
        <v>59</v>
      </c>
      <c r="AC59" t="s">
        <v>59</v>
      </c>
      <c r="AD59" t="s">
        <v>60</v>
      </c>
      <c r="AE59" t="s">
        <v>94</v>
      </c>
      <c r="AF59" t="s">
        <v>62</v>
      </c>
      <c r="AG59" t="s">
        <v>63</v>
      </c>
      <c r="AH59" t="s">
        <v>63</v>
      </c>
      <c r="AI59" t="s">
        <v>63</v>
      </c>
      <c r="AJ59" t="s">
        <v>65</v>
      </c>
      <c r="AK59" t="s">
        <v>63</v>
      </c>
      <c r="AL59" t="s">
        <v>120</v>
      </c>
      <c r="AM59" t="s">
        <v>67</v>
      </c>
      <c r="AN59" t="s">
        <v>68</v>
      </c>
      <c r="AO59" t="s">
        <v>63</v>
      </c>
      <c r="AP59" t="s">
        <v>98</v>
      </c>
      <c r="AQ59" t="s">
        <v>63</v>
      </c>
      <c r="AR59" s="25">
        <v>10</v>
      </c>
      <c r="AS59" t="s">
        <v>212</v>
      </c>
    </row>
    <row r="60" spans="1:45" x14ac:dyDescent="0.3">
      <c r="A60">
        <v>59</v>
      </c>
      <c r="B60" s="24">
        <v>46216.521770833337</v>
      </c>
      <c r="C60" s="24">
        <v>46216.533171296294</v>
      </c>
      <c r="D60" t="s">
        <v>45</v>
      </c>
      <c r="F60" s="1"/>
      <c r="G60" t="s">
        <v>100</v>
      </c>
      <c r="H60" t="s">
        <v>47</v>
      </c>
      <c r="I60" t="s">
        <v>133</v>
      </c>
      <c r="J60" t="s">
        <v>49</v>
      </c>
      <c r="K60" t="s">
        <v>213</v>
      </c>
      <c r="L60" t="s">
        <v>51</v>
      </c>
      <c r="M60" t="s">
        <v>51</v>
      </c>
      <c r="N60" t="s">
        <v>116</v>
      </c>
      <c r="O60" t="s">
        <v>53</v>
      </c>
      <c r="P60" t="s">
        <v>74</v>
      </c>
      <c r="Q60" t="s">
        <v>55</v>
      </c>
      <c r="R60" t="s">
        <v>76</v>
      </c>
      <c r="S60" t="s">
        <v>57</v>
      </c>
      <c r="T60" t="s">
        <v>58</v>
      </c>
      <c r="U60" t="s">
        <v>86</v>
      </c>
      <c r="V60" t="s">
        <v>86</v>
      </c>
      <c r="W60" t="s">
        <v>59</v>
      </c>
      <c r="X60" t="s">
        <v>86</v>
      </c>
      <c r="Y60" t="s">
        <v>59</v>
      </c>
      <c r="Z60" t="s">
        <v>59</v>
      </c>
      <c r="AA60" t="s">
        <v>59</v>
      </c>
      <c r="AB60" t="s">
        <v>59</v>
      </c>
      <c r="AC60" t="s">
        <v>59</v>
      </c>
      <c r="AD60" t="s">
        <v>60</v>
      </c>
      <c r="AE60" t="s">
        <v>61</v>
      </c>
      <c r="AF60" t="s">
        <v>62</v>
      </c>
      <c r="AG60" t="s">
        <v>63</v>
      </c>
      <c r="AH60" t="s">
        <v>63</v>
      </c>
      <c r="AI60" t="s">
        <v>63</v>
      </c>
      <c r="AJ60" t="s">
        <v>82</v>
      </c>
      <c r="AK60" t="s">
        <v>63</v>
      </c>
      <c r="AL60" t="s">
        <v>66</v>
      </c>
      <c r="AM60" t="s">
        <v>67</v>
      </c>
      <c r="AN60" t="s">
        <v>68</v>
      </c>
      <c r="AO60" t="s">
        <v>64</v>
      </c>
      <c r="AP60" t="s">
        <v>69</v>
      </c>
      <c r="AQ60" t="s">
        <v>63</v>
      </c>
      <c r="AR60" s="25">
        <v>9</v>
      </c>
      <c r="AS60" t="s">
        <v>214</v>
      </c>
    </row>
    <row r="61" spans="1:45" x14ac:dyDescent="0.3">
      <c r="A61">
        <v>60</v>
      </c>
      <c r="B61" s="24">
        <v>46216.551585648151</v>
      </c>
      <c r="C61" s="24">
        <v>46216.560150462959</v>
      </c>
      <c r="D61" t="s">
        <v>45</v>
      </c>
      <c r="F61" s="1"/>
      <c r="G61" t="s">
        <v>46</v>
      </c>
      <c r="H61" t="s">
        <v>91</v>
      </c>
      <c r="I61" t="s">
        <v>48</v>
      </c>
      <c r="J61" t="s">
        <v>71</v>
      </c>
      <c r="K61" t="s">
        <v>215</v>
      </c>
      <c r="L61" t="s">
        <v>51</v>
      </c>
      <c r="M61" t="s">
        <v>51</v>
      </c>
      <c r="N61" t="s">
        <v>52</v>
      </c>
      <c r="O61" t="s">
        <v>53</v>
      </c>
      <c r="P61" t="s">
        <v>74</v>
      </c>
      <c r="Q61" t="s">
        <v>75</v>
      </c>
      <c r="R61" t="s">
        <v>76</v>
      </c>
      <c r="S61" t="s">
        <v>57</v>
      </c>
      <c r="T61" t="s">
        <v>58</v>
      </c>
      <c r="U61" t="s">
        <v>86</v>
      </c>
      <c r="V61" t="s">
        <v>87</v>
      </c>
      <c r="W61" t="s">
        <v>79</v>
      </c>
      <c r="X61" t="s">
        <v>79</v>
      </c>
      <c r="Y61" t="s">
        <v>79</v>
      </c>
      <c r="Z61" t="s">
        <v>79</v>
      </c>
      <c r="AA61" t="s">
        <v>79</v>
      </c>
      <c r="AB61" t="s">
        <v>79</v>
      </c>
      <c r="AC61" t="s">
        <v>87</v>
      </c>
      <c r="AD61" t="s">
        <v>60</v>
      </c>
      <c r="AE61" t="s">
        <v>61</v>
      </c>
      <c r="AF61" t="s">
        <v>62</v>
      </c>
      <c r="AG61" t="s">
        <v>81</v>
      </c>
      <c r="AH61" t="s">
        <v>81</v>
      </c>
      <c r="AI61" t="s">
        <v>81</v>
      </c>
      <c r="AJ61" t="s">
        <v>82</v>
      </c>
      <c r="AK61" t="s">
        <v>81</v>
      </c>
      <c r="AL61" t="s">
        <v>102</v>
      </c>
      <c r="AM61" t="s">
        <v>137</v>
      </c>
      <c r="AN61" t="s">
        <v>68</v>
      </c>
      <c r="AO61" t="s">
        <v>81</v>
      </c>
      <c r="AP61" t="s">
        <v>107</v>
      </c>
      <c r="AQ61" t="s">
        <v>81</v>
      </c>
      <c r="AR61" s="25">
        <v>9</v>
      </c>
      <c r="AS61" t="s">
        <v>216</v>
      </c>
    </row>
    <row r="62" spans="1:45" x14ac:dyDescent="0.3">
      <c r="A62">
        <v>61</v>
      </c>
      <c r="B62" s="24">
        <v>46216.560798611114</v>
      </c>
      <c r="C62" s="24">
        <v>46216.571643518517</v>
      </c>
      <c r="D62" t="s">
        <v>45</v>
      </c>
      <c r="F62" s="1"/>
      <c r="G62" t="s">
        <v>100</v>
      </c>
      <c r="H62" t="s">
        <v>47</v>
      </c>
      <c r="I62" t="s">
        <v>48</v>
      </c>
      <c r="J62" t="s">
        <v>49</v>
      </c>
      <c r="K62" t="s">
        <v>217</v>
      </c>
      <c r="L62" t="s">
        <v>73</v>
      </c>
      <c r="M62" t="s">
        <v>73</v>
      </c>
      <c r="N62" t="s">
        <v>52</v>
      </c>
      <c r="O62" t="s">
        <v>53</v>
      </c>
      <c r="P62" t="s">
        <v>218</v>
      </c>
      <c r="Q62" t="s">
        <v>219</v>
      </c>
      <c r="R62" t="s">
        <v>76</v>
      </c>
      <c r="S62" t="s">
        <v>77</v>
      </c>
      <c r="T62" t="s">
        <v>78</v>
      </c>
      <c r="U62" t="s">
        <v>59</v>
      </c>
      <c r="V62" t="s">
        <v>59</v>
      </c>
      <c r="W62" t="s">
        <v>79</v>
      </c>
      <c r="X62" t="s">
        <v>79</v>
      </c>
      <c r="Y62" t="s">
        <v>79</v>
      </c>
      <c r="Z62" t="s">
        <v>59</v>
      </c>
      <c r="AA62" t="s">
        <v>79</v>
      </c>
      <c r="AB62" t="s">
        <v>59</v>
      </c>
      <c r="AC62" t="s">
        <v>59</v>
      </c>
      <c r="AD62" t="s">
        <v>98</v>
      </c>
      <c r="AE62" t="s">
        <v>88</v>
      </c>
      <c r="AF62" t="s">
        <v>147</v>
      </c>
      <c r="AG62" t="s">
        <v>81</v>
      </c>
      <c r="AH62" t="s">
        <v>81</v>
      </c>
      <c r="AI62" t="s">
        <v>81</v>
      </c>
      <c r="AJ62" t="s">
        <v>138</v>
      </c>
      <c r="AK62" t="s">
        <v>81</v>
      </c>
      <c r="AL62" t="s">
        <v>66</v>
      </c>
      <c r="AM62" t="s">
        <v>137</v>
      </c>
      <c r="AN62" t="s">
        <v>68</v>
      </c>
      <c r="AO62" t="s">
        <v>81</v>
      </c>
      <c r="AP62" t="s">
        <v>107</v>
      </c>
      <c r="AQ62" t="s">
        <v>81</v>
      </c>
      <c r="AR62" s="25">
        <v>0</v>
      </c>
      <c r="AS62" t="s">
        <v>220</v>
      </c>
    </row>
    <row r="63" spans="1:45" x14ac:dyDescent="0.3">
      <c r="A63">
        <v>62</v>
      </c>
      <c r="B63" s="24">
        <v>46216.559791666667</v>
      </c>
      <c r="C63" s="24">
        <v>46216.57199074074</v>
      </c>
      <c r="D63" t="s">
        <v>45</v>
      </c>
      <c r="F63" s="1"/>
      <c r="G63" t="s">
        <v>100</v>
      </c>
      <c r="H63" t="s">
        <v>47</v>
      </c>
      <c r="I63" t="s">
        <v>101</v>
      </c>
      <c r="J63" t="s">
        <v>49</v>
      </c>
      <c r="K63" t="s">
        <v>221</v>
      </c>
      <c r="L63" t="s">
        <v>51</v>
      </c>
      <c r="M63" t="s">
        <v>73</v>
      </c>
      <c r="N63" t="s">
        <v>52</v>
      </c>
      <c r="O63" t="s">
        <v>53</v>
      </c>
      <c r="P63" t="s">
        <v>74</v>
      </c>
      <c r="Q63" t="s">
        <v>55</v>
      </c>
      <c r="R63" t="s">
        <v>56</v>
      </c>
      <c r="S63" t="s">
        <v>77</v>
      </c>
      <c r="T63" t="s">
        <v>58</v>
      </c>
      <c r="U63" t="s">
        <v>59</v>
      </c>
      <c r="V63" t="s">
        <v>59</v>
      </c>
      <c r="W63" t="s">
        <v>59</v>
      </c>
      <c r="X63" t="s">
        <v>86</v>
      </c>
      <c r="Y63" t="s">
        <v>59</v>
      </c>
      <c r="Z63" t="s">
        <v>59</v>
      </c>
      <c r="AA63" t="s">
        <v>59</v>
      </c>
      <c r="AB63" t="s">
        <v>59</v>
      </c>
      <c r="AC63" t="s">
        <v>59</v>
      </c>
      <c r="AD63" t="s">
        <v>60</v>
      </c>
      <c r="AE63" t="s">
        <v>61</v>
      </c>
      <c r="AF63" t="s">
        <v>62</v>
      </c>
      <c r="AG63" t="s">
        <v>81</v>
      </c>
      <c r="AH63" t="s">
        <v>63</v>
      </c>
      <c r="AI63" t="s">
        <v>63</v>
      </c>
      <c r="AJ63" t="s">
        <v>82</v>
      </c>
      <c r="AK63" t="s">
        <v>63</v>
      </c>
      <c r="AL63" t="s">
        <v>120</v>
      </c>
      <c r="AM63" t="s">
        <v>67</v>
      </c>
      <c r="AN63" t="s">
        <v>89</v>
      </c>
      <c r="AO63" t="s">
        <v>63</v>
      </c>
      <c r="AP63" t="s">
        <v>98</v>
      </c>
      <c r="AQ63" t="s">
        <v>63</v>
      </c>
      <c r="AR63" s="25">
        <v>9</v>
      </c>
      <c r="AS63" t="s">
        <v>222</v>
      </c>
    </row>
    <row r="64" spans="1:45" x14ac:dyDescent="0.3">
      <c r="A64">
        <v>63</v>
      </c>
      <c r="B64" s="24">
        <v>46216.565289351849</v>
      </c>
      <c r="C64" s="24">
        <v>46216.576273148145</v>
      </c>
      <c r="D64" t="s">
        <v>45</v>
      </c>
      <c r="F64" s="1"/>
      <c r="G64" t="s">
        <v>100</v>
      </c>
      <c r="H64" t="s">
        <v>112</v>
      </c>
      <c r="I64" t="s">
        <v>133</v>
      </c>
      <c r="J64" t="s">
        <v>104</v>
      </c>
      <c r="K64" t="s">
        <v>223</v>
      </c>
      <c r="L64" t="s">
        <v>51</v>
      </c>
      <c r="M64" t="s">
        <v>146</v>
      </c>
      <c r="N64" t="s">
        <v>116</v>
      </c>
      <c r="O64" t="s">
        <v>53</v>
      </c>
      <c r="P64" t="s">
        <v>54</v>
      </c>
      <c r="Q64" t="s">
        <v>55</v>
      </c>
      <c r="R64" t="s">
        <v>56</v>
      </c>
      <c r="S64" t="s">
        <v>57</v>
      </c>
      <c r="T64" t="s">
        <v>93</v>
      </c>
      <c r="U64" t="s">
        <v>79</v>
      </c>
      <c r="V64" t="s">
        <v>59</v>
      </c>
      <c r="W64" t="s">
        <v>79</v>
      </c>
      <c r="X64" t="s">
        <v>59</v>
      </c>
      <c r="Y64" t="s">
        <v>59</v>
      </c>
      <c r="Z64" t="s">
        <v>59</v>
      </c>
      <c r="AA64" t="s">
        <v>79</v>
      </c>
      <c r="AB64" t="s">
        <v>59</v>
      </c>
      <c r="AC64" t="s">
        <v>79</v>
      </c>
      <c r="AD64" t="s">
        <v>60</v>
      </c>
      <c r="AE64" t="s">
        <v>61</v>
      </c>
      <c r="AF64" t="s">
        <v>62</v>
      </c>
      <c r="AG64" t="s">
        <v>63</v>
      </c>
      <c r="AH64" t="s">
        <v>64</v>
      </c>
      <c r="AI64" t="s">
        <v>63</v>
      </c>
      <c r="AJ64" t="s">
        <v>82</v>
      </c>
      <c r="AK64" t="s">
        <v>63</v>
      </c>
      <c r="AL64" t="s">
        <v>66</v>
      </c>
      <c r="AM64" t="s">
        <v>67</v>
      </c>
      <c r="AN64" t="s">
        <v>68</v>
      </c>
      <c r="AO64" t="s">
        <v>63</v>
      </c>
      <c r="AP64" t="s">
        <v>110</v>
      </c>
      <c r="AQ64" t="s">
        <v>63</v>
      </c>
      <c r="AR64" s="25">
        <v>10</v>
      </c>
      <c r="AS64" t="s">
        <v>224</v>
      </c>
    </row>
    <row r="65" spans="1:45" x14ac:dyDescent="0.3">
      <c r="A65">
        <v>64</v>
      </c>
      <c r="B65" s="24">
        <v>46216.633263888885</v>
      </c>
      <c r="C65" s="24">
        <v>46216.640625</v>
      </c>
      <c r="D65" t="s">
        <v>45</v>
      </c>
      <c r="F65" s="1"/>
      <c r="G65" t="s">
        <v>46</v>
      </c>
      <c r="H65" t="s">
        <v>47</v>
      </c>
      <c r="I65" t="s">
        <v>113</v>
      </c>
      <c r="J65" t="s">
        <v>71</v>
      </c>
      <c r="K65" t="s">
        <v>225</v>
      </c>
      <c r="L65" t="s">
        <v>73</v>
      </c>
      <c r="M65" t="s">
        <v>73</v>
      </c>
      <c r="N65" t="s">
        <v>52</v>
      </c>
      <c r="O65" t="s">
        <v>53</v>
      </c>
      <c r="P65" t="s">
        <v>74</v>
      </c>
      <c r="Q65" t="s">
        <v>75</v>
      </c>
      <c r="R65" t="s">
        <v>76</v>
      </c>
      <c r="S65" t="s">
        <v>77</v>
      </c>
      <c r="T65" t="s">
        <v>58</v>
      </c>
      <c r="U65" t="s">
        <v>59</v>
      </c>
      <c r="V65" t="s">
        <v>86</v>
      </c>
      <c r="W65" t="s">
        <v>59</v>
      </c>
      <c r="X65" t="s">
        <v>86</v>
      </c>
      <c r="Y65" t="s">
        <v>79</v>
      </c>
      <c r="Z65" t="s">
        <v>59</v>
      </c>
      <c r="AA65" t="s">
        <v>59</v>
      </c>
      <c r="AB65" t="s">
        <v>59</v>
      </c>
      <c r="AC65" t="s">
        <v>86</v>
      </c>
      <c r="AD65" t="s">
        <v>60</v>
      </c>
      <c r="AE65" t="s">
        <v>61</v>
      </c>
      <c r="AF65" t="s">
        <v>62</v>
      </c>
      <c r="AG65" t="s">
        <v>63</v>
      </c>
      <c r="AH65" t="s">
        <v>63</v>
      </c>
      <c r="AI65" t="s">
        <v>63</v>
      </c>
      <c r="AJ65" t="s">
        <v>82</v>
      </c>
      <c r="AK65" t="s">
        <v>63</v>
      </c>
      <c r="AL65" t="s">
        <v>66</v>
      </c>
      <c r="AM65" t="s">
        <v>67</v>
      </c>
      <c r="AN65" t="s">
        <v>137</v>
      </c>
      <c r="AO65" t="s">
        <v>63</v>
      </c>
      <c r="AP65" t="s">
        <v>107</v>
      </c>
      <c r="AQ65" t="s">
        <v>63</v>
      </c>
      <c r="AR65" s="25">
        <v>8</v>
      </c>
      <c r="AS65" t="s">
        <v>226</v>
      </c>
    </row>
    <row r="66" spans="1:45" x14ac:dyDescent="0.3">
      <c r="A66">
        <v>65</v>
      </c>
      <c r="B66" s="24">
        <v>46216.635787037034</v>
      </c>
      <c r="C66" s="24">
        <v>46216.643993055557</v>
      </c>
      <c r="D66" t="s">
        <v>45</v>
      </c>
      <c r="F66" s="1"/>
      <c r="G66" t="s">
        <v>46</v>
      </c>
      <c r="H66" t="s">
        <v>112</v>
      </c>
      <c r="I66" t="s">
        <v>48</v>
      </c>
      <c r="J66" t="s">
        <v>104</v>
      </c>
      <c r="K66" t="s">
        <v>97</v>
      </c>
      <c r="L66" t="s">
        <v>73</v>
      </c>
      <c r="M66" t="s">
        <v>73</v>
      </c>
      <c r="N66" t="s">
        <v>52</v>
      </c>
      <c r="O66" t="s">
        <v>53</v>
      </c>
      <c r="P66" t="s">
        <v>74</v>
      </c>
      <c r="Q66" t="s">
        <v>75</v>
      </c>
      <c r="R66" t="s">
        <v>76</v>
      </c>
      <c r="S66" t="s">
        <v>57</v>
      </c>
      <c r="T66" t="s">
        <v>58</v>
      </c>
      <c r="U66" t="s">
        <v>79</v>
      </c>
      <c r="V66" t="s">
        <v>59</v>
      </c>
      <c r="W66" t="s">
        <v>59</v>
      </c>
      <c r="X66" t="s">
        <v>79</v>
      </c>
      <c r="Y66" t="s">
        <v>79</v>
      </c>
      <c r="Z66" t="s">
        <v>79</v>
      </c>
      <c r="AA66" t="s">
        <v>87</v>
      </c>
      <c r="AB66" t="s">
        <v>79</v>
      </c>
      <c r="AC66" t="s">
        <v>59</v>
      </c>
      <c r="AD66" t="s">
        <v>80</v>
      </c>
      <c r="AE66" t="s">
        <v>61</v>
      </c>
      <c r="AF66" t="s">
        <v>62</v>
      </c>
      <c r="AG66" t="s">
        <v>63</v>
      </c>
      <c r="AH66" t="s">
        <v>63</v>
      </c>
      <c r="AI66" t="s">
        <v>63</v>
      </c>
      <c r="AJ66" t="s">
        <v>82</v>
      </c>
      <c r="AK66" t="s">
        <v>63</v>
      </c>
      <c r="AL66" t="s">
        <v>66</v>
      </c>
      <c r="AM66" t="s">
        <v>137</v>
      </c>
      <c r="AN66" t="s">
        <v>68</v>
      </c>
      <c r="AO66" t="s">
        <v>63</v>
      </c>
      <c r="AP66" t="s">
        <v>69</v>
      </c>
      <c r="AQ66" t="s">
        <v>63</v>
      </c>
      <c r="AR66" s="25">
        <v>8</v>
      </c>
      <c r="AS66" t="s">
        <v>227</v>
      </c>
    </row>
    <row r="67" spans="1:45" x14ac:dyDescent="0.3">
      <c r="A67">
        <v>66</v>
      </c>
      <c r="B67" s="24">
        <v>46216.662812499999</v>
      </c>
      <c r="C67" s="24">
        <v>46216.678761574076</v>
      </c>
      <c r="D67" t="s">
        <v>45</v>
      </c>
      <c r="F67" s="1"/>
      <c r="G67" t="s">
        <v>100</v>
      </c>
      <c r="H67" t="s">
        <v>47</v>
      </c>
      <c r="I67" t="s">
        <v>101</v>
      </c>
      <c r="J67" t="s">
        <v>49</v>
      </c>
      <c r="K67" t="s">
        <v>97</v>
      </c>
      <c r="L67" t="s">
        <v>146</v>
      </c>
      <c r="M67" t="s">
        <v>73</v>
      </c>
      <c r="N67" t="s">
        <v>52</v>
      </c>
      <c r="O67" t="s">
        <v>228</v>
      </c>
      <c r="P67" t="s">
        <v>74</v>
      </c>
      <c r="Q67" t="s">
        <v>75</v>
      </c>
      <c r="R67" t="s">
        <v>76</v>
      </c>
      <c r="S67" t="s">
        <v>77</v>
      </c>
      <c r="T67" t="s">
        <v>58</v>
      </c>
      <c r="U67" t="s">
        <v>59</v>
      </c>
      <c r="V67" t="s">
        <v>59</v>
      </c>
      <c r="W67" t="s">
        <v>59</v>
      </c>
      <c r="X67" t="s">
        <v>59</v>
      </c>
      <c r="Y67" t="s">
        <v>59</v>
      </c>
      <c r="Z67" t="s">
        <v>59</v>
      </c>
      <c r="AA67" t="s">
        <v>59</v>
      </c>
      <c r="AB67" t="s">
        <v>79</v>
      </c>
      <c r="AC67" t="s">
        <v>59</v>
      </c>
      <c r="AD67" t="s">
        <v>60</v>
      </c>
      <c r="AE67" t="s">
        <v>61</v>
      </c>
      <c r="AF67" t="s">
        <v>62</v>
      </c>
      <c r="AG67" t="s">
        <v>63</v>
      </c>
      <c r="AH67" t="s">
        <v>63</v>
      </c>
      <c r="AI67" t="s">
        <v>137</v>
      </c>
      <c r="AJ67" t="s">
        <v>82</v>
      </c>
      <c r="AK67" t="s">
        <v>63</v>
      </c>
      <c r="AL67" t="s">
        <v>102</v>
      </c>
      <c r="AM67" t="s">
        <v>67</v>
      </c>
      <c r="AN67" t="s">
        <v>68</v>
      </c>
      <c r="AO67" t="s">
        <v>137</v>
      </c>
      <c r="AP67" t="s">
        <v>107</v>
      </c>
      <c r="AQ67" t="s">
        <v>137</v>
      </c>
      <c r="AR67" s="25">
        <v>10</v>
      </c>
      <c r="AS67" t="s">
        <v>229</v>
      </c>
    </row>
    <row r="68" spans="1:45" x14ac:dyDescent="0.3">
      <c r="A68">
        <v>67</v>
      </c>
      <c r="B68" s="24">
        <v>46216.782199074078</v>
      </c>
      <c r="C68" s="24">
        <v>46216.789976851855</v>
      </c>
      <c r="D68" t="s">
        <v>45</v>
      </c>
      <c r="F68" s="1"/>
      <c r="G68" t="s">
        <v>46</v>
      </c>
      <c r="H68" t="s">
        <v>47</v>
      </c>
      <c r="I68" t="s">
        <v>48</v>
      </c>
      <c r="J68" t="s">
        <v>71</v>
      </c>
      <c r="K68" t="s">
        <v>230</v>
      </c>
      <c r="L68" t="s">
        <v>73</v>
      </c>
      <c r="M68" t="s">
        <v>73</v>
      </c>
      <c r="N68" t="s">
        <v>52</v>
      </c>
      <c r="O68" t="s">
        <v>228</v>
      </c>
      <c r="P68" t="s">
        <v>74</v>
      </c>
      <c r="Q68" t="s">
        <v>75</v>
      </c>
      <c r="R68" t="s">
        <v>76</v>
      </c>
      <c r="S68" t="s">
        <v>77</v>
      </c>
      <c r="T68" t="s">
        <v>58</v>
      </c>
      <c r="U68" t="s">
        <v>59</v>
      </c>
      <c r="V68" t="s">
        <v>59</v>
      </c>
      <c r="W68" t="s">
        <v>59</v>
      </c>
      <c r="X68" t="s">
        <v>59</v>
      </c>
      <c r="Y68" t="s">
        <v>59</v>
      </c>
      <c r="Z68" t="s">
        <v>59</v>
      </c>
      <c r="AA68" t="s">
        <v>59</v>
      </c>
      <c r="AB68" t="s">
        <v>59</v>
      </c>
      <c r="AC68" t="s">
        <v>59</v>
      </c>
      <c r="AD68" t="s">
        <v>60</v>
      </c>
      <c r="AE68" t="s">
        <v>88</v>
      </c>
      <c r="AF68" t="s">
        <v>173</v>
      </c>
      <c r="AG68" t="s">
        <v>137</v>
      </c>
      <c r="AH68" t="s">
        <v>137</v>
      </c>
      <c r="AI68" t="s">
        <v>81</v>
      </c>
      <c r="AJ68" t="s">
        <v>82</v>
      </c>
      <c r="AK68" t="s">
        <v>81</v>
      </c>
      <c r="AL68" t="s">
        <v>137</v>
      </c>
      <c r="AM68" t="s">
        <v>137</v>
      </c>
      <c r="AN68" t="s">
        <v>137</v>
      </c>
      <c r="AO68" t="s">
        <v>137</v>
      </c>
      <c r="AP68" t="s">
        <v>107</v>
      </c>
      <c r="AQ68" t="s">
        <v>137</v>
      </c>
      <c r="AR68" s="25">
        <v>7</v>
      </c>
      <c r="AS68" t="s">
        <v>231</v>
      </c>
    </row>
    <row r="69" spans="1:45" x14ac:dyDescent="0.3">
      <c r="A69">
        <v>68</v>
      </c>
      <c r="B69" s="24">
        <v>46216.793240740742</v>
      </c>
      <c r="C69" s="24">
        <v>46216.798101851855</v>
      </c>
      <c r="D69" t="s">
        <v>45</v>
      </c>
      <c r="F69" s="1"/>
      <c r="G69" t="s">
        <v>46</v>
      </c>
      <c r="H69" t="s">
        <v>47</v>
      </c>
      <c r="I69" t="s">
        <v>48</v>
      </c>
      <c r="J69" t="s">
        <v>71</v>
      </c>
      <c r="K69" t="s">
        <v>109</v>
      </c>
      <c r="L69" t="s">
        <v>73</v>
      </c>
      <c r="M69" t="s">
        <v>73</v>
      </c>
      <c r="N69" t="s">
        <v>52</v>
      </c>
      <c r="O69" t="s">
        <v>228</v>
      </c>
      <c r="P69" t="s">
        <v>74</v>
      </c>
      <c r="Q69" t="s">
        <v>75</v>
      </c>
      <c r="R69" t="s">
        <v>76</v>
      </c>
      <c r="S69" t="s">
        <v>77</v>
      </c>
      <c r="T69" t="s">
        <v>58</v>
      </c>
      <c r="U69" t="s">
        <v>59</v>
      </c>
      <c r="V69" t="s">
        <v>59</v>
      </c>
      <c r="W69" t="s">
        <v>59</v>
      </c>
      <c r="X69" t="s">
        <v>59</v>
      </c>
      <c r="Y69" t="s">
        <v>59</v>
      </c>
      <c r="Z69" t="s">
        <v>59</v>
      </c>
      <c r="AA69" t="s">
        <v>59</v>
      </c>
      <c r="AB69" t="s">
        <v>59</v>
      </c>
      <c r="AC69" t="s">
        <v>59</v>
      </c>
      <c r="AD69" t="s">
        <v>60</v>
      </c>
      <c r="AE69" t="s">
        <v>187</v>
      </c>
      <c r="AF69" t="s">
        <v>173</v>
      </c>
      <c r="AG69" t="s">
        <v>137</v>
      </c>
      <c r="AH69" t="s">
        <v>137</v>
      </c>
      <c r="AI69" t="s">
        <v>137</v>
      </c>
      <c r="AJ69" t="s">
        <v>82</v>
      </c>
      <c r="AK69" t="s">
        <v>137</v>
      </c>
      <c r="AL69" t="s">
        <v>66</v>
      </c>
      <c r="AM69" t="s">
        <v>137</v>
      </c>
      <c r="AN69" t="s">
        <v>137</v>
      </c>
      <c r="AO69" t="s">
        <v>137</v>
      </c>
      <c r="AP69" t="s">
        <v>107</v>
      </c>
      <c r="AQ69" t="s">
        <v>137</v>
      </c>
      <c r="AR69" s="25">
        <v>7</v>
      </c>
      <c r="AS69" t="s">
        <v>231</v>
      </c>
    </row>
    <row r="70" spans="1:45" x14ac:dyDescent="0.3">
      <c r="A70">
        <v>69</v>
      </c>
      <c r="B70" s="24">
        <v>46216.812800925924</v>
      </c>
      <c r="C70" s="24">
        <v>46216.818553240744</v>
      </c>
      <c r="D70" t="s">
        <v>45</v>
      </c>
      <c r="F70" s="1"/>
      <c r="G70" t="s">
        <v>46</v>
      </c>
      <c r="H70" t="s">
        <v>91</v>
      </c>
      <c r="I70" t="s">
        <v>48</v>
      </c>
      <c r="J70" t="s">
        <v>49</v>
      </c>
      <c r="K70" t="s">
        <v>232</v>
      </c>
      <c r="L70" t="s">
        <v>73</v>
      </c>
      <c r="M70" t="s">
        <v>73</v>
      </c>
      <c r="N70" t="s">
        <v>52</v>
      </c>
      <c r="O70" t="s">
        <v>53</v>
      </c>
      <c r="P70" t="s">
        <v>74</v>
      </c>
      <c r="Q70" t="s">
        <v>55</v>
      </c>
      <c r="R70" t="s">
        <v>76</v>
      </c>
      <c r="S70" t="s">
        <v>57</v>
      </c>
      <c r="T70" t="s">
        <v>58</v>
      </c>
      <c r="U70" t="s">
        <v>79</v>
      </c>
      <c r="V70" t="s">
        <v>59</v>
      </c>
      <c r="W70" t="s">
        <v>79</v>
      </c>
      <c r="X70" t="s">
        <v>79</v>
      </c>
      <c r="Y70" t="s">
        <v>79</v>
      </c>
      <c r="Z70" t="s">
        <v>79</v>
      </c>
      <c r="AA70" t="s">
        <v>79</v>
      </c>
      <c r="AB70" t="s">
        <v>79</v>
      </c>
      <c r="AC70" t="s">
        <v>79</v>
      </c>
      <c r="AD70" t="s">
        <v>60</v>
      </c>
      <c r="AE70" t="s">
        <v>61</v>
      </c>
      <c r="AF70" t="s">
        <v>119</v>
      </c>
      <c r="AG70" t="s">
        <v>63</v>
      </c>
      <c r="AH70" t="s">
        <v>63</v>
      </c>
      <c r="AI70" t="s">
        <v>63</v>
      </c>
      <c r="AJ70" t="s">
        <v>82</v>
      </c>
      <c r="AK70" t="s">
        <v>63</v>
      </c>
      <c r="AL70" t="s">
        <v>102</v>
      </c>
      <c r="AM70" t="s">
        <v>67</v>
      </c>
      <c r="AN70" t="s">
        <v>68</v>
      </c>
      <c r="AO70" t="s">
        <v>81</v>
      </c>
      <c r="AP70" t="s">
        <v>107</v>
      </c>
      <c r="AQ70" t="s">
        <v>81</v>
      </c>
      <c r="AR70" s="25">
        <v>8</v>
      </c>
      <c r="AS70" t="s">
        <v>233</v>
      </c>
    </row>
    <row r="71" spans="1:45" x14ac:dyDescent="0.3">
      <c r="A71">
        <v>70</v>
      </c>
      <c r="B71" s="24">
        <v>46216.815636574072</v>
      </c>
      <c r="C71" s="24">
        <v>46216.821157407408</v>
      </c>
      <c r="D71" t="s">
        <v>45</v>
      </c>
      <c r="F71" s="1"/>
      <c r="G71" t="s">
        <v>100</v>
      </c>
      <c r="H71" t="s">
        <v>91</v>
      </c>
      <c r="I71" t="s">
        <v>101</v>
      </c>
      <c r="J71" t="s">
        <v>49</v>
      </c>
      <c r="K71" t="s">
        <v>234</v>
      </c>
      <c r="L71" t="s">
        <v>51</v>
      </c>
      <c r="M71" t="s">
        <v>73</v>
      </c>
      <c r="N71" t="s">
        <v>52</v>
      </c>
      <c r="O71" t="s">
        <v>53</v>
      </c>
      <c r="P71" t="s">
        <v>54</v>
      </c>
      <c r="Q71" t="s">
        <v>55</v>
      </c>
      <c r="R71" t="s">
        <v>76</v>
      </c>
      <c r="S71" t="s">
        <v>77</v>
      </c>
      <c r="T71" t="s">
        <v>58</v>
      </c>
      <c r="U71" t="s">
        <v>86</v>
      </c>
      <c r="V71" t="s">
        <v>86</v>
      </c>
      <c r="W71" t="s">
        <v>59</v>
      </c>
      <c r="X71" t="s">
        <v>59</v>
      </c>
      <c r="Y71" t="s">
        <v>59</v>
      </c>
      <c r="Z71" t="s">
        <v>86</v>
      </c>
      <c r="AA71" t="s">
        <v>86</v>
      </c>
      <c r="AB71" t="s">
        <v>86</v>
      </c>
      <c r="AC71" t="s">
        <v>86</v>
      </c>
      <c r="AD71" t="s">
        <v>60</v>
      </c>
      <c r="AE71" t="s">
        <v>187</v>
      </c>
      <c r="AF71" t="s">
        <v>62</v>
      </c>
      <c r="AG71" t="s">
        <v>63</v>
      </c>
      <c r="AH71" t="s">
        <v>63</v>
      </c>
      <c r="AI71" t="s">
        <v>63</v>
      </c>
      <c r="AJ71" t="s">
        <v>82</v>
      </c>
      <c r="AK71" t="s">
        <v>63</v>
      </c>
      <c r="AL71" t="s">
        <v>66</v>
      </c>
      <c r="AM71" t="s">
        <v>67</v>
      </c>
      <c r="AN71" t="s">
        <v>68</v>
      </c>
      <c r="AO71" t="s">
        <v>64</v>
      </c>
      <c r="AP71" t="s">
        <v>69</v>
      </c>
      <c r="AQ71" t="s">
        <v>63</v>
      </c>
      <c r="AR71" s="25">
        <v>9</v>
      </c>
      <c r="AS71" t="s">
        <v>235</v>
      </c>
    </row>
    <row r="72" spans="1:45" x14ac:dyDescent="0.3">
      <c r="A72">
        <v>71</v>
      </c>
      <c r="B72" s="24">
        <v>46216.820185185185</v>
      </c>
      <c r="C72" s="24">
        <v>46216.824328703704</v>
      </c>
      <c r="D72" t="s">
        <v>45</v>
      </c>
      <c r="F72" s="1"/>
      <c r="G72" t="s">
        <v>100</v>
      </c>
      <c r="H72" t="s">
        <v>112</v>
      </c>
      <c r="I72" t="s">
        <v>133</v>
      </c>
      <c r="J72" t="s">
        <v>162</v>
      </c>
      <c r="K72" t="s">
        <v>236</v>
      </c>
      <c r="L72" t="s">
        <v>73</v>
      </c>
      <c r="M72" t="s">
        <v>73</v>
      </c>
      <c r="N72" t="s">
        <v>52</v>
      </c>
      <c r="O72" t="s">
        <v>228</v>
      </c>
      <c r="P72" t="s">
        <v>74</v>
      </c>
      <c r="Q72" t="s">
        <v>75</v>
      </c>
      <c r="R72" t="s">
        <v>76</v>
      </c>
      <c r="S72" t="s">
        <v>77</v>
      </c>
      <c r="T72" t="s">
        <v>58</v>
      </c>
      <c r="U72" t="s">
        <v>87</v>
      </c>
      <c r="V72" t="s">
        <v>86</v>
      </c>
      <c r="W72" t="s">
        <v>86</v>
      </c>
      <c r="X72" t="s">
        <v>86</v>
      </c>
      <c r="Y72" t="s">
        <v>86</v>
      </c>
      <c r="Z72" t="s">
        <v>86</v>
      </c>
      <c r="AA72" t="s">
        <v>87</v>
      </c>
      <c r="AB72" t="s">
        <v>87</v>
      </c>
      <c r="AC72" t="s">
        <v>87</v>
      </c>
      <c r="AD72" t="s">
        <v>80</v>
      </c>
      <c r="AE72" t="s">
        <v>61</v>
      </c>
      <c r="AF72" t="s">
        <v>62</v>
      </c>
      <c r="AG72" t="s">
        <v>63</v>
      </c>
      <c r="AH72" t="s">
        <v>63</v>
      </c>
      <c r="AI72" t="s">
        <v>63</v>
      </c>
      <c r="AJ72" t="s">
        <v>82</v>
      </c>
      <c r="AK72" t="s">
        <v>63</v>
      </c>
      <c r="AL72" t="s">
        <v>102</v>
      </c>
      <c r="AM72" t="s">
        <v>67</v>
      </c>
      <c r="AN72" t="s">
        <v>89</v>
      </c>
      <c r="AO72" t="s">
        <v>63</v>
      </c>
      <c r="AP72" t="s">
        <v>107</v>
      </c>
      <c r="AQ72" t="s">
        <v>63</v>
      </c>
      <c r="AR72" s="25">
        <v>7</v>
      </c>
      <c r="AS72" t="s">
        <v>237</v>
      </c>
    </row>
    <row r="73" spans="1:45" x14ac:dyDescent="0.3">
      <c r="A73">
        <v>72</v>
      </c>
      <c r="B73" s="24">
        <v>46216.822731481479</v>
      </c>
      <c r="C73" s="24">
        <v>46216.828518518516</v>
      </c>
      <c r="D73" t="s">
        <v>45</v>
      </c>
      <c r="F73" s="1"/>
      <c r="G73" t="s">
        <v>100</v>
      </c>
      <c r="H73" t="s">
        <v>91</v>
      </c>
      <c r="I73" t="s">
        <v>238</v>
      </c>
      <c r="J73" t="s">
        <v>162</v>
      </c>
      <c r="K73" t="s">
        <v>160</v>
      </c>
      <c r="L73" t="s">
        <v>73</v>
      </c>
      <c r="M73" t="s">
        <v>146</v>
      </c>
      <c r="N73" t="s">
        <v>52</v>
      </c>
      <c r="O73" t="s">
        <v>53</v>
      </c>
      <c r="P73" t="s">
        <v>74</v>
      </c>
      <c r="Q73" t="s">
        <v>75</v>
      </c>
      <c r="R73" t="s">
        <v>56</v>
      </c>
      <c r="S73" t="s">
        <v>77</v>
      </c>
      <c r="T73" t="s">
        <v>58</v>
      </c>
      <c r="U73" t="s">
        <v>86</v>
      </c>
      <c r="V73" t="s">
        <v>79</v>
      </c>
      <c r="W73" t="s">
        <v>79</v>
      </c>
      <c r="X73" t="s">
        <v>79</v>
      </c>
      <c r="Y73" t="s">
        <v>59</v>
      </c>
      <c r="Z73" t="s">
        <v>59</v>
      </c>
      <c r="AA73" t="s">
        <v>79</v>
      </c>
      <c r="AB73" t="s">
        <v>87</v>
      </c>
      <c r="AC73" t="s">
        <v>79</v>
      </c>
      <c r="AD73" t="s">
        <v>60</v>
      </c>
      <c r="AE73" t="s">
        <v>61</v>
      </c>
      <c r="AF73" t="s">
        <v>62</v>
      </c>
      <c r="AG73" t="s">
        <v>63</v>
      </c>
      <c r="AH73" t="s">
        <v>63</v>
      </c>
      <c r="AI73" t="s">
        <v>81</v>
      </c>
      <c r="AJ73" t="s">
        <v>82</v>
      </c>
      <c r="AK73" t="s">
        <v>81</v>
      </c>
      <c r="AL73" t="s">
        <v>120</v>
      </c>
      <c r="AM73" t="s">
        <v>67</v>
      </c>
      <c r="AN73" t="s">
        <v>68</v>
      </c>
      <c r="AO73" t="s">
        <v>63</v>
      </c>
      <c r="AP73" t="s">
        <v>69</v>
      </c>
      <c r="AQ73" t="s">
        <v>63</v>
      </c>
      <c r="AR73" s="25">
        <v>10</v>
      </c>
      <c r="AS73" t="s">
        <v>239</v>
      </c>
    </row>
    <row r="74" spans="1:45" x14ac:dyDescent="0.3">
      <c r="A74">
        <v>73</v>
      </c>
      <c r="B74" s="24">
        <v>46216.825787037036</v>
      </c>
      <c r="C74" s="24">
        <v>46216.832442129627</v>
      </c>
      <c r="D74" t="s">
        <v>45</v>
      </c>
      <c r="F74" s="1"/>
      <c r="G74" t="s">
        <v>100</v>
      </c>
      <c r="H74" t="s">
        <v>91</v>
      </c>
      <c r="I74" t="s">
        <v>101</v>
      </c>
      <c r="J74" t="s">
        <v>49</v>
      </c>
      <c r="K74" t="s">
        <v>240</v>
      </c>
      <c r="L74" t="s">
        <v>51</v>
      </c>
      <c r="M74" t="s">
        <v>146</v>
      </c>
      <c r="N74" t="s">
        <v>52</v>
      </c>
      <c r="O74" t="s">
        <v>53</v>
      </c>
      <c r="P74" t="s">
        <v>74</v>
      </c>
      <c r="Q74" t="s">
        <v>75</v>
      </c>
      <c r="R74" t="s">
        <v>76</v>
      </c>
      <c r="S74" t="s">
        <v>77</v>
      </c>
      <c r="T74" t="s">
        <v>58</v>
      </c>
      <c r="U74" t="s">
        <v>87</v>
      </c>
      <c r="V74" t="s">
        <v>87</v>
      </c>
      <c r="W74" t="s">
        <v>59</v>
      </c>
      <c r="X74" t="s">
        <v>87</v>
      </c>
      <c r="Y74" t="s">
        <v>59</v>
      </c>
      <c r="Z74" t="s">
        <v>87</v>
      </c>
      <c r="AA74" t="s">
        <v>87</v>
      </c>
      <c r="AB74" t="s">
        <v>59</v>
      </c>
      <c r="AC74" t="s">
        <v>59</v>
      </c>
      <c r="AD74" t="s">
        <v>60</v>
      </c>
      <c r="AE74" t="s">
        <v>61</v>
      </c>
      <c r="AF74" t="s">
        <v>62</v>
      </c>
      <c r="AG74" t="s">
        <v>81</v>
      </c>
      <c r="AH74" t="s">
        <v>63</v>
      </c>
      <c r="AI74" t="s">
        <v>81</v>
      </c>
      <c r="AJ74" t="s">
        <v>82</v>
      </c>
      <c r="AK74" t="s">
        <v>63</v>
      </c>
      <c r="AL74" t="s">
        <v>137</v>
      </c>
      <c r="AM74" t="s">
        <v>137</v>
      </c>
      <c r="AN74" t="s">
        <v>68</v>
      </c>
      <c r="AO74" t="s">
        <v>137</v>
      </c>
      <c r="AP74" t="s">
        <v>107</v>
      </c>
      <c r="AQ74" t="s">
        <v>63</v>
      </c>
      <c r="AR74" s="25">
        <v>8</v>
      </c>
      <c r="AS74" t="s">
        <v>241</v>
      </c>
    </row>
    <row r="75" spans="1:45" x14ac:dyDescent="0.3">
      <c r="A75">
        <v>74</v>
      </c>
      <c r="B75" s="24">
        <v>46216.832546296297</v>
      </c>
      <c r="C75" s="24">
        <v>46216.839398148149</v>
      </c>
      <c r="D75" t="s">
        <v>45</v>
      </c>
      <c r="F75" s="1"/>
      <c r="G75" t="s">
        <v>100</v>
      </c>
      <c r="H75" t="s">
        <v>47</v>
      </c>
      <c r="I75" t="s">
        <v>48</v>
      </c>
      <c r="J75" t="s">
        <v>162</v>
      </c>
      <c r="K75" t="s">
        <v>242</v>
      </c>
      <c r="L75" t="s">
        <v>51</v>
      </c>
      <c r="M75" t="s">
        <v>51</v>
      </c>
      <c r="N75" t="s">
        <v>52</v>
      </c>
      <c r="O75" t="s">
        <v>53</v>
      </c>
      <c r="P75" t="s">
        <v>74</v>
      </c>
      <c r="Q75" t="s">
        <v>55</v>
      </c>
      <c r="R75" t="s">
        <v>56</v>
      </c>
      <c r="S75" t="s">
        <v>57</v>
      </c>
      <c r="T75" t="s">
        <v>58</v>
      </c>
      <c r="U75" t="s">
        <v>86</v>
      </c>
      <c r="V75" t="s">
        <v>59</v>
      </c>
      <c r="W75" t="s">
        <v>59</v>
      </c>
      <c r="X75" t="s">
        <v>86</v>
      </c>
      <c r="Y75" t="s">
        <v>59</v>
      </c>
      <c r="Z75" t="s">
        <v>59</v>
      </c>
      <c r="AA75" t="s">
        <v>59</v>
      </c>
      <c r="AB75" t="s">
        <v>59</v>
      </c>
      <c r="AC75" t="s">
        <v>87</v>
      </c>
      <c r="AD75" t="s">
        <v>60</v>
      </c>
      <c r="AE75" t="s">
        <v>88</v>
      </c>
      <c r="AF75" t="s">
        <v>62</v>
      </c>
      <c r="AG75" t="s">
        <v>63</v>
      </c>
      <c r="AH75" t="s">
        <v>63</v>
      </c>
      <c r="AI75" t="s">
        <v>63</v>
      </c>
      <c r="AJ75" t="s">
        <v>82</v>
      </c>
      <c r="AK75" t="s">
        <v>63</v>
      </c>
      <c r="AL75" t="s">
        <v>66</v>
      </c>
      <c r="AM75" t="s">
        <v>67</v>
      </c>
      <c r="AN75" t="s">
        <v>68</v>
      </c>
      <c r="AO75" t="s">
        <v>81</v>
      </c>
      <c r="AP75" t="s">
        <v>107</v>
      </c>
      <c r="AQ75" t="s">
        <v>81</v>
      </c>
      <c r="AR75" s="25">
        <v>10</v>
      </c>
      <c r="AS75" t="s">
        <v>243</v>
      </c>
    </row>
    <row r="76" spans="1:45" x14ac:dyDescent="0.3">
      <c r="A76">
        <v>75</v>
      </c>
      <c r="B76" s="24">
        <v>46216.834374999999</v>
      </c>
      <c r="C76" s="24">
        <v>46216.842106481483</v>
      </c>
      <c r="D76" t="s">
        <v>45</v>
      </c>
      <c r="F76" s="1"/>
      <c r="G76" t="s">
        <v>100</v>
      </c>
      <c r="H76" t="s">
        <v>47</v>
      </c>
      <c r="I76" t="s">
        <v>101</v>
      </c>
      <c r="J76" t="s">
        <v>104</v>
      </c>
      <c r="K76" t="s">
        <v>244</v>
      </c>
      <c r="L76" t="s">
        <v>51</v>
      </c>
      <c r="M76" t="s">
        <v>51</v>
      </c>
      <c r="N76" t="s">
        <v>52</v>
      </c>
      <c r="O76" t="s">
        <v>53</v>
      </c>
      <c r="P76" t="s">
        <v>74</v>
      </c>
      <c r="Q76" t="s">
        <v>75</v>
      </c>
      <c r="R76" t="s">
        <v>76</v>
      </c>
      <c r="S76" t="s">
        <v>77</v>
      </c>
      <c r="T76" t="s">
        <v>58</v>
      </c>
      <c r="U76" t="s">
        <v>79</v>
      </c>
      <c r="V76" t="s">
        <v>86</v>
      </c>
      <c r="W76" t="s">
        <v>87</v>
      </c>
      <c r="X76" t="s">
        <v>87</v>
      </c>
      <c r="Y76" t="s">
        <v>79</v>
      </c>
      <c r="Z76" t="s">
        <v>86</v>
      </c>
      <c r="AA76" t="s">
        <v>59</v>
      </c>
      <c r="AB76" t="s">
        <v>86</v>
      </c>
      <c r="AC76" t="s">
        <v>87</v>
      </c>
      <c r="AD76" t="s">
        <v>80</v>
      </c>
      <c r="AE76" t="s">
        <v>187</v>
      </c>
      <c r="AF76" t="s">
        <v>62</v>
      </c>
      <c r="AG76" t="s">
        <v>63</v>
      </c>
      <c r="AH76" t="s">
        <v>63</v>
      </c>
      <c r="AI76" t="s">
        <v>63</v>
      </c>
      <c r="AJ76" t="s">
        <v>65</v>
      </c>
      <c r="AK76" t="s">
        <v>63</v>
      </c>
      <c r="AL76" t="s">
        <v>120</v>
      </c>
      <c r="AM76" t="s">
        <v>121</v>
      </c>
      <c r="AN76" t="s">
        <v>68</v>
      </c>
      <c r="AO76" t="s">
        <v>81</v>
      </c>
      <c r="AP76" t="s">
        <v>69</v>
      </c>
      <c r="AQ76" t="s">
        <v>63</v>
      </c>
      <c r="AR76" s="25">
        <v>10</v>
      </c>
      <c r="AS76" t="s">
        <v>245</v>
      </c>
    </row>
    <row r="77" spans="1:45" x14ac:dyDescent="0.3">
      <c r="A77">
        <v>76</v>
      </c>
      <c r="B77" s="24">
        <v>46216.839606481481</v>
      </c>
      <c r="C77" s="24">
        <v>46216.84584490741</v>
      </c>
      <c r="D77" t="s">
        <v>45</v>
      </c>
      <c r="F77" s="1"/>
      <c r="G77" t="s">
        <v>100</v>
      </c>
      <c r="H77" t="s">
        <v>47</v>
      </c>
      <c r="I77" t="s">
        <v>101</v>
      </c>
      <c r="J77" t="s">
        <v>104</v>
      </c>
      <c r="K77" t="s">
        <v>97</v>
      </c>
      <c r="L77" t="s">
        <v>51</v>
      </c>
      <c r="M77" t="s">
        <v>51</v>
      </c>
      <c r="N77" t="s">
        <v>116</v>
      </c>
      <c r="O77" t="s">
        <v>53</v>
      </c>
      <c r="P77" t="s">
        <v>54</v>
      </c>
      <c r="Q77" t="s">
        <v>55</v>
      </c>
      <c r="R77" t="s">
        <v>56</v>
      </c>
      <c r="S77" t="s">
        <v>57</v>
      </c>
      <c r="T77" t="s">
        <v>93</v>
      </c>
      <c r="U77" t="s">
        <v>79</v>
      </c>
      <c r="V77" t="s">
        <v>59</v>
      </c>
      <c r="W77" t="s">
        <v>79</v>
      </c>
      <c r="X77" t="s">
        <v>79</v>
      </c>
      <c r="Y77" t="s">
        <v>59</v>
      </c>
      <c r="Z77" t="s">
        <v>86</v>
      </c>
      <c r="AA77" t="s">
        <v>86</v>
      </c>
      <c r="AB77" t="s">
        <v>59</v>
      </c>
      <c r="AC77" t="s">
        <v>59</v>
      </c>
      <c r="AD77" t="s">
        <v>60</v>
      </c>
      <c r="AE77" t="s">
        <v>61</v>
      </c>
      <c r="AF77" t="s">
        <v>173</v>
      </c>
      <c r="AG77" t="s">
        <v>81</v>
      </c>
      <c r="AH77" t="s">
        <v>63</v>
      </c>
      <c r="AI77" t="s">
        <v>81</v>
      </c>
      <c r="AJ77" t="s">
        <v>82</v>
      </c>
      <c r="AK77" t="s">
        <v>63</v>
      </c>
      <c r="AL77" t="s">
        <v>102</v>
      </c>
      <c r="AM77" t="s">
        <v>67</v>
      </c>
      <c r="AN77" t="s">
        <v>175</v>
      </c>
      <c r="AO77" t="s">
        <v>81</v>
      </c>
      <c r="AP77" t="s">
        <v>107</v>
      </c>
      <c r="AQ77" t="s">
        <v>81</v>
      </c>
      <c r="AR77" s="25">
        <v>10</v>
      </c>
      <c r="AS77" t="s">
        <v>246</v>
      </c>
    </row>
    <row r="78" spans="1:45" x14ac:dyDescent="0.3">
      <c r="A78">
        <v>77</v>
      </c>
      <c r="B78" s="24">
        <v>46216.830659722225</v>
      </c>
      <c r="C78" s="24">
        <v>46216.85460648148</v>
      </c>
      <c r="D78" t="s">
        <v>45</v>
      </c>
      <c r="F78" s="1"/>
      <c r="G78" t="s">
        <v>100</v>
      </c>
      <c r="H78" t="s">
        <v>91</v>
      </c>
      <c r="I78" t="s">
        <v>101</v>
      </c>
      <c r="J78" t="s">
        <v>49</v>
      </c>
      <c r="K78" t="s">
        <v>97</v>
      </c>
      <c r="L78" t="s">
        <v>146</v>
      </c>
      <c r="M78" t="s">
        <v>146</v>
      </c>
      <c r="N78" t="s">
        <v>52</v>
      </c>
      <c r="O78" t="s">
        <v>53</v>
      </c>
      <c r="P78" t="s">
        <v>74</v>
      </c>
      <c r="Q78" t="s">
        <v>75</v>
      </c>
      <c r="R78" t="s">
        <v>76</v>
      </c>
      <c r="S78" t="s">
        <v>77</v>
      </c>
      <c r="T78" t="s">
        <v>58</v>
      </c>
      <c r="U78" t="s">
        <v>79</v>
      </c>
      <c r="V78" t="s">
        <v>59</v>
      </c>
      <c r="W78" t="s">
        <v>79</v>
      </c>
      <c r="X78" t="s">
        <v>59</v>
      </c>
      <c r="Y78" t="s">
        <v>79</v>
      </c>
      <c r="Z78" t="s">
        <v>59</v>
      </c>
      <c r="AA78" t="s">
        <v>79</v>
      </c>
      <c r="AB78" t="s">
        <v>87</v>
      </c>
      <c r="AC78" t="s">
        <v>86</v>
      </c>
      <c r="AD78" t="s">
        <v>80</v>
      </c>
      <c r="AE78" t="s">
        <v>88</v>
      </c>
      <c r="AF78" t="s">
        <v>147</v>
      </c>
      <c r="AG78" t="s">
        <v>81</v>
      </c>
      <c r="AH78" t="s">
        <v>81</v>
      </c>
      <c r="AI78" t="s">
        <v>81</v>
      </c>
      <c r="AJ78" t="s">
        <v>82</v>
      </c>
      <c r="AK78" t="s">
        <v>137</v>
      </c>
      <c r="AL78" t="s">
        <v>137</v>
      </c>
      <c r="AM78" t="s">
        <v>137</v>
      </c>
      <c r="AN78" t="s">
        <v>68</v>
      </c>
      <c r="AO78" t="s">
        <v>137</v>
      </c>
      <c r="AP78" t="s">
        <v>107</v>
      </c>
      <c r="AQ78" t="s">
        <v>137</v>
      </c>
      <c r="AR78" s="25">
        <v>7</v>
      </c>
      <c r="AS78" t="s">
        <v>247</v>
      </c>
    </row>
    <row r="79" spans="1:45" x14ac:dyDescent="0.3">
      <c r="A79">
        <v>78</v>
      </c>
      <c r="B79" s="24">
        <v>46216.842916666668</v>
      </c>
      <c r="C79" s="24">
        <v>46216.855219907404</v>
      </c>
      <c r="D79" t="s">
        <v>45</v>
      </c>
      <c r="F79" s="1"/>
      <c r="G79" t="s">
        <v>100</v>
      </c>
      <c r="H79" t="s">
        <v>91</v>
      </c>
      <c r="I79" t="s">
        <v>133</v>
      </c>
      <c r="J79" t="s">
        <v>186</v>
      </c>
      <c r="K79" t="s">
        <v>248</v>
      </c>
      <c r="L79" t="s">
        <v>51</v>
      </c>
      <c r="M79" t="s">
        <v>51</v>
      </c>
      <c r="N79" t="s">
        <v>116</v>
      </c>
      <c r="O79" t="s">
        <v>53</v>
      </c>
      <c r="P79" t="s">
        <v>74</v>
      </c>
      <c r="Q79" t="s">
        <v>75</v>
      </c>
      <c r="R79" t="s">
        <v>56</v>
      </c>
      <c r="S79" t="s">
        <v>77</v>
      </c>
      <c r="T79" t="s">
        <v>58</v>
      </c>
      <c r="U79" t="s">
        <v>86</v>
      </c>
      <c r="V79" t="s">
        <v>86</v>
      </c>
      <c r="W79" t="s">
        <v>86</v>
      </c>
      <c r="X79" t="s">
        <v>86</v>
      </c>
      <c r="Y79" t="s">
        <v>59</v>
      </c>
      <c r="Z79" t="s">
        <v>86</v>
      </c>
      <c r="AA79" t="s">
        <v>59</v>
      </c>
      <c r="AB79" t="s">
        <v>86</v>
      </c>
      <c r="AC79" t="s">
        <v>86</v>
      </c>
      <c r="AD79" t="s">
        <v>60</v>
      </c>
      <c r="AE79" t="s">
        <v>187</v>
      </c>
      <c r="AF79" t="s">
        <v>173</v>
      </c>
      <c r="AG79" t="s">
        <v>137</v>
      </c>
      <c r="AH79" t="s">
        <v>137</v>
      </c>
      <c r="AI79" t="s">
        <v>137</v>
      </c>
      <c r="AJ79" t="s">
        <v>82</v>
      </c>
      <c r="AK79" t="s">
        <v>137</v>
      </c>
      <c r="AL79" t="s">
        <v>120</v>
      </c>
      <c r="AM79" t="s">
        <v>137</v>
      </c>
      <c r="AN79" t="s">
        <v>68</v>
      </c>
      <c r="AO79" t="s">
        <v>137</v>
      </c>
      <c r="AP79" t="s">
        <v>107</v>
      </c>
      <c r="AQ79" t="s">
        <v>137</v>
      </c>
      <c r="AR79" s="25">
        <v>10</v>
      </c>
      <c r="AS79" t="s">
        <v>249</v>
      </c>
    </row>
    <row r="80" spans="1:45" x14ac:dyDescent="0.3">
      <c r="A80">
        <v>79</v>
      </c>
      <c r="B80" s="24">
        <v>46216.861562500002</v>
      </c>
      <c r="C80" s="24">
        <v>46216.867175925923</v>
      </c>
      <c r="D80" t="s">
        <v>45</v>
      </c>
      <c r="F80" s="1"/>
      <c r="G80" t="s">
        <v>100</v>
      </c>
      <c r="H80" t="s">
        <v>91</v>
      </c>
      <c r="I80" t="s">
        <v>133</v>
      </c>
      <c r="J80" t="s">
        <v>186</v>
      </c>
      <c r="K80" t="s">
        <v>105</v>
      </c>
      <c r="L80" t="s">
        <v>51</v>
      </c>
      <c r="M80" t="s">
        <v>73</v>
      </c>
      <c r="N80" t="s">
        <v>116</v>
      </c>
      <c r="O80" t="s">
        <v>53</v>
      </c>
      <c r="P80" t="s">
        <v>218</v>
      </c>
      <c r="Q80" t="s">
        <v>75</v>
      </c>
      <c r="R80" t="s">
        <v>56</v>
      </c>
      <c r="S80" t="s">
        <v>57</v>
      </c>
      <c r="T80" t="s">
        <v>93</v>
      </c>
      <c r="U80" t="s">
        <v>86</v>
      </c>
      <c r="V80" t="s">
        <v>86</v>
      </c>
      <c r="W80" t="s">
        <v>86</v>
      </c>
      <c r="X80" t="s">
        <v>86</v>
      </c>
      <c r="Y80" t="s">
        <v>59</v>
      </c>
      <c r="Z80" t="s">
        <v>86</v>
      </c>
      <c r="AA80" t="s">
        <v>59</v>
      </c>
      <c r="AB80" t="s">
        <v>87</v>
      </c>
      <c r="AC80" t="s">
        <v>86</v>
      </c>
      <c r="AD80" t="s">
        <v>60</v>
      </c>
      <c r="AE80" t="s">
        <v>187</v>
      </c>
      <c r="AF80" t="s">
        <v>173</v>
      </c>
      <c r="AG80" t="s">
        <v>137</v>
      </c>
      <c r="AH80" t="s">
        <v>137</v>
      </c>
      <c r="AI80" t="s">
        <v>137</v>
      </c>
      <c r="AJ80" t="s">
        <v>82</v>
      </c>
      <c r="AK80" t="s">
        <v>137</v>
      </c>
      <c r="AL80" t="s">
        <v>120</v>
      </c>
      <c r="AM80" t="s">
        <v>67</v>
      </c>
      <c r="AN80" t="s">
        <v>68</v>
      </c>
      <c r="AO80" t="s">
        <v>137</v>
      </c>
      <c r="AP80" t="s">
        <v>107</v>
      </c>
      <c r="AQ80" t="s">
        <v>137</v>
      </c>
      <c r="AR80" s="25">
        <v>10</v>
      </c>
      <c r="AS80" t="s">
        <v>249</v>
      </c>
    </row>
    <row r="81" spans="1:45" x14ac:dyDescent="0.3">
      <c r="A81">
        <v>80</v>
      </c>
      <c r="B81" s="24">
        <v>46216.876886574071</v>
      </c>
      <c r="C81" s="24">
        <v>46216.885925925926</v>
      </c>
      <c r="D81" t="s">
        <v>45</v>
      </c>
      <c r="F81" s="1"/>
      <c r="G81" t="s">
        <v>100</v>
      </c>
      <c r="H81" t="s">
        <v>91</v>
      </c>
      <c r="I81" t="s">
        <v>101</v>
      </c>
      <c r="J81" t="s">
        <v>49</v>
      </c>
      <c r="K81" t="s">
        <v>97</v>
      </c>
      <c r="L81" t="s">
        <v>51</v>
      </c>
      <c r="M81" t="s">
        <v>73</v>
      </c>
      <c r="N81" t="s">
        <v>116</v>
      </c>
      <c r="O81" t="s">
        <v>53</v>
      </c>
      <c r="P81" t="s">
        <v>74</v>
      </c>
      <c r="Q81" t="s">
        <v>75</v>
      </c>
      <c r="R81" t="s">
        <v>76</v>
      </c>
      <c r="S81" t="s">
        <v>77</v>
      </c>
      <c r="T81" t="s">
        <v>58</v>
      </c>
      <c r="U81" t="s">
        <v>79</v>
      </c>
      <c r="V81" t="s">
        <v>59</v>
      </c>
      <c r="W81" t="s">
        <v>59</v>
      </c>
      <c r="X81" t="s">
        <v>79</v>
      </c>
      <c r="Y81" t="s">
        <v>59</v>
      </c>
      <c r="Z81" t="s">
        <v>59</v>
      </c>
      <c r="AA81" t="s">
        <v>79</v>
      </c>
      <c r="AB81" t="s">
        <v>59</v>
      </c>
      <c r="AC81" t="s">
        <v>59</v>
      </c>
      <c r="AD81" t="s">
        <v>60</v>
      </c>
      <c r="AE81" t="s">
        <v>61</v>
      </c>
      <c r="AF81" t="s">
        <v>62</v>
      </c>
      <c r="AG81" t="s">
        <v>137</v>
      </c>
      <c r="AH81" t="s">
        <v>137</v>
      </c>
      <c r="AI81" t="s">
        <v>137</v>
      </c>
      <c r="AJ81" t="s">
        <v>82</v>
      </c>
      <c r="AK81" t="s">
        <v>81</v>
      </c>
      <c r="AL81" t="s">
        <v>102</v>
      </c>
      <c r="AM81" t="s">
        <v>67</v>
      </c>
      <c r="AN81" t="s">
        <v>68</v>
      </c>
      <c r="AO81" t="s">
        <v>81</v>
      </c>
      <c r="AP81" t="s">
        <v>107</v>
      </c>
      <c r="AQ81" t="s">
        <v>137</v>
      </c>
      <c r="AR81" s="25">
        <v>6</v>
      </c>
      <c r="AS81" t="s">
        <v>250</v>
      </c>
    </row>
    <row r="82" spans="1:45" x14ac:dyDescent="0.3">
      <c r="A82">
        <v>81</v>
      </c>
      <c r="B82" s="24">
        <v>46216.898009259261</v>
      </c>
      <c r="C82" s="24">
        <v>46216.905891203707</v>
      </c>
      <c r="D82" t="s">
        <v>45</v>
      </c>
      <c r="F82" s="1"/>
      <c r="G82" t="s">
        <v>100</v>
      </c>
      <c r="H82" t="s">
        <v>47</v>
      </c>
      <c r="I82" t="s">
        <v>101</v>
      </c>
      <c r="J82" t="s">
        <v>186</v>
      </c>
      <c r="K82" t="s">
        <v>251</v>
      </c>
      <c r="L82" t="s">
        <v>51</v>
      </c>
      <c r="M82" t="s">
        <v>51</v>
      </c>
      <c r="N82" t="s">
        <v>116</v>
      </c>
      <c r="O82" t="s">
        <v>53</v>
      </c>
      <c r="P82" t="s">
        <v>54</v>
      </c>
      <c r="Q82" t="s">
        <v>55</v>
      </c>
      <c r="R82" t="s">
        <v>56</v>
      </c>
      <c r="S82" t="s">
        <v>57</v>
      </c>
      <c r="T82" t="s">
        <v>93</v>
      </c>
      <c r="U82" t="s">
        <v>59</v>
      </c>
      <c r="V82" t="s">
        <v>79</v>
      </c>
      <c r="W82" t="s">
        <v>79</v>
      </c>
      <c r="X82" t="s">
        <v>79</v>
      </c>
      <c r="Y82" t="s">
        <v>79</v>
      </c>
      <c r="Z82" t="s">
        <v>79</v>
      </c>
      <c r="AA82" t="s">
        <v>79</v>
      </c>
      <c r="AB82" t="s">
        <v>79</v>
      </c>
      <c r="AC82" t="s">
        <v>79</v>
      </c>
      <c r="AD82" t="s">
        <v>60</v>
      </c>
      <c r="AE82" t="s">
        <v>94</v>
      </c>
      <c r="AF82" t="s">
        <v>62</v>
      </c>
      <c r="AG82" t="s">
        <v>63</v>
      </c>
      <c r="AH82" t="s">
        <v>63</v>
      </c>
      <c r="AI82" t="s">
        <v>63</v>
      </c>
      <c r="AJ82" t="s">
        <v>82</v>
      </c>
      <c r="AK82" t="s">
        <v>63</v>
      </c>
      <c r="AL82" t="s">
        <v>102</v>
      </c>
      <c r="AM82" t="s">
        <v>67</v>
      </c>
      <c r="AN82" t="s">
        <v>68</v>
      </c>
      <c r="AO82" t="s">
        <v>81</v>
      </c>
      <c r="AP82" t="s">
        <v>98</v>
      </c>
      <c r="AQ82" t="s">
        <v>81</v>
      </c>
      <c r="AR82" s="25">
        <v>8</v>
      </c>
      <c r="AS82" t="s">
        <v>252</v>
      </c>
    </row>
    <row r="83" spans="1:45" x14ac:dyDescent="0.3">
      <c r="A83">
        <v>82</v>
      </c>
      <c r="B83" s="24">
        <v>46216.915358796294</v>
      </c>
      <c r="C83" s="24">
        <v>46216.930520833332</v>
      </c>
      <c r="D83" t="s">
        <v>45</v>
      </c>
      <c r="F83" s="1"/>
      <c r="G83" t="s">
        <v>100</v>
      </c>
      <c r="H83" t="s">
        <v>47</v>
      </c>
      <c r="I83" t="s">
        <v>101</v>
      </c>
      <c r="J83" t="s">
        <v>49</v>
      </c>
      <c r="K83" t="s">
        <v>253</v>
      </c>
      <c r="L83" t="s">
        <v>146</v>
      </c>
      <c r="M83" t="s">
        <v>73</v>
      </c>
      <c r="N83" t="s">
        <v>52</v>
      </c>
      <c r="O83" t="s">
        <v>53</v>
      </c>
      <c r="P83" t="s">
        <v>74</v>
      </c>
      <c r="Q83" t="s">
        <v>75</v>
      </c>
      <c r="R83" t="s">
        <v>76</v>
      </c>
      <c r="S83" t="s">
        <v>57</v>
      </c>
      <c r="T83" t="s">
        <v>58</v>
      </c>
      <c r="U83" t="s">
        <v>86</v>
      </c>
      <c r="V83" t="s">
        <v>86</v>
      </c>
      <c r="W83" t="s">
        <v>79</v>
      </c>
      <c r="X83" t="s">
        <v>59</v>
      </c>
      <c r="Y83" t="s">
        <v>59</v>
      </c>
      <c r="Z83" t="s">
        <v>86</v>
      </c>
      <c r="AA83" t="s">
        <v>86</v>
      </c>
      <c r="AB83" t="s">
        <v>59</v>
      </c>
      <c r="AC83" t="s">
        <v>59</v>
      </c>
      <c r="AD83" t="s">
        <v>98</v>
      </c>
      <c r="AE83" t="s">
        <v>61</v>
      </c>
      <c r="AF83" t="s">
        <v>62</v>
      </c>
      <c r="AG83" t="s">
        <v>63</v>
      </c>
      <c r="AH83" t="s">
        <v>63</v>
      </c>
      <c r="AI83" t="s">
        <v>81</v>
      </c>
      <c r="AJ83" t="s">
        <v>82</v>
      </c>
      <c r="AK83" t="s">
        <v>81</v>
      </c>
      <c r="AL83" t="s">
        <v>102</v>
      </c>
      <c r="AM83" t="s">
        <v>67</v>
      </c>
      <c r="AN83" t="s">
        <v>175</v>
      </c>
      <c r="AO83" t="s">
        <v>81</v>
      </c>
      <c r="AP83" t="s">
        <v>69</v>
      </c>
      <c r="AQ83" t="s">
        <v>81</v>
      </c>
      <c r="AR83" s="25">
        <v>10</v>
      </c>
      <c r="AS83" t="s">
        <v>254</v>
      </c>
    </row>
    <row r="84" spans="1:45" x14ac:dyDescent="0.3">
      <c r="A84">
        <v>83</v>
      </c>
      <c r="B84" s="24">
        <v>46216.947627314818</v>
      </c>
      <c r="C84" s="24">
        <v>46216.95385416667</v>
      </c>
      <c r="D84" t="s">
        <v>45</v>
      </c>
      <c r="F84" s="1"/>
      <c r="G84" t="s">
        <v>46</v>
      </c>
      <c r="H84" t="s">
        <v>47</v>
      </c>
      <c r="I84" t="s">
        <v>48</v>
      </c>
      <c r="J84" t="s">
        <v>71</v>
      </c>
      <c r="K84" t="s">
        <v>255</v>
      </c>
      <c r="L84" t="s">
        <v>51</v>
      </c>
      <c r="M84" t="s">
        <v>51</v>
      </c>
      <c r="N84" t="s">
        <v>52</v>
      </c>
      <c r="O84" t="s">
        <v>53</v>
      </c>
      <c r="P84" t="s">
        <v>74</v>
      </c>
      <c r="Q84" t="s">
        <v>75</v>
      </c>
      <c r="R84" t="s">
        <v>76</v>
      </c>
      <c r="S84" t="s">
        <v>77</v>
      </c>
      <c r="T84" t="s">
        <v>58</v>
      </c>
      <c r="U84" t="s">
        <v>79</v>
      </c>
      <c r="V84" t="s">
        <v>59</v>
      </c>
      <c r="W84" t="s">
        <v>59</v>
      </c>
      <c r="X84" t="s">
        <v>79</v>
      </c>
      <c r="Y84" t="s">
        <v>59</v>
      </c>
      <c r="Z84" t="s">
        <v>59</v>
      </c>
      <c r="AA84" t="s">
        <v>59</v>
      </c>
      <c r="AB84" t="s">
        <v>59</v>
      </c>
      <c r="AC84" t="s">
        <v>59</v>
      </c>
      <c r="AD84" t="s">
        <v>60</v>
      </c>
      <c r="AE84" t="s">
        <v>61</v>
      </c>
      <c r="AF84" t="s">
        <v>62</v>
      </c>
      <c r="AG84" t="s">
        <v>63</v>
      </c>
      <c r="AH84" t="s">
        <v>63</v>
      </c>
      <c r="AI84" t="s">
        <v>63</v>
      </c>
      <c r="AJ84" t="s">
        <v>82</v>
      </c>
      <c r="AK84" t="s">
        <v>63</v>
      </c>
      <c r="AL84" t="s">
        <v>102</v>
      </c>
      <c r="AM84" t="s">
        <v>67</v>
      </c>
      <c r="AN84" t="s">
        <v>89</v>
      </c>
      <c r="AO84" t="s">
        <v>63</v>
      </c>
      <c r="AP84" t="s">
        <v>69</v>
      </c>
      <c r="AQ84" t="s">
        <v>63</v>
      </c>
      <c r="AR84" s="25">
        <v>8</v>
      </c>
      <c r="AS84" t="s">
        <v>256</v>
      </c>
    </row>
    <row r="85" spans="1:45" x14ac:dyDescent="0.3">
      <c r="A85">
        <v>84</v>
      </c>
      <c r="B85" s="24">
        <v>46217.441261574073</v>
      </c>
      <c r="C85" s="24">
        <v>46217.446458333332</v>
      </c>
      <c r="D85" t="s">
        <v>45</v>
      </c>
      <c r="F85" s="1"/>
      <c r="G85" t="s">
        <v>100</v>
      </c>
      <c r="H85" t="s">
        <v>47</v>
      </c>
      <c r="I85" t="s">
        <v>133</v>
      </c>
      <c r="J85" t="s">
        <v>49</v>
      </c>
      <c r="K85" t="s">
        <v>257</v>
      </c>
      <c r="L85" t="s">
        <v>73</v>
      </c>
      <c r="M85" t="s">
        <v>73</v>
      </c>
      <c r="N85" t="s">
        <v>52</v>
      </c>
      <c r="O85" t="s">
        <v>53</v>
      </c>
      <c r="P85" t="s">
        <v>74</v>
      </c>
      <c r="Q85" t="s">
        <v>75</v>
      </c>
      <c r="R85" t="s">
        <v>76</v>
      </c>
      <c r="S85" t="s">
        <v>77</v>
      </c>
      <c r="T85" t="s">
        <v>58</v>
      </c>
      <c r="U85" t="s">
        <v>86</v>
      </c>
      <c r="V85" t="s">
        <v>86</v>
      </c>
      <c r="W85" t="s">
        <v>86</v>
      </c>
      <c r="X85" t="s">
        <v>86</v>
      </c>
      <c r="Y85" t="s">
        <v>86</v>
      </c>
      <c r="Z85" t="s">
        <v>86</v>
      </c>
      <c r="AA85" t="s">
        <v>86</v>
      </c>
      <c r="AB85" t="s">
        <v>86</v>
      </c>
      <c r="AC85" t="s">
        <v>86</v>
      </c>
      <c r="AD85" t="s">
        <v>60</v>
      </c>
      <c r="AE85" t="s">
        <v>61</v>
      </c>
      <c r="AF85" t="s">
        <v>62</v>
      </c>
      <c r="AG85" t="s">
        <v>63</v>
      </c>
      <c r="AH85" t="s">
        <v>63</v>
      </c>
      <c r="AI85" t="s">
        <v>63</v>
      </c>
      <c r="AJ85" t="s">
        <v>82</v>
      </c>
      <c r="AK85" t="s">
        <v>63</v>
      </c>
      <c r="AL85" t="s">
        <v>66</v>
      </c>
      <c r="AM85" t="s">
        <v>67</v>
      </c>
      <c r="AN85" t="s">
        <v>68</v>
      </c>
      <c r="AO85" t="s">
        <v>63</v>
      </c>
      <c r="AP85" t="s">
        <v>98</v>
      </c>
      <c r="AQ85" t="s">
        <v>63</v>
      </c>
      <c r="AR85" s="25">
        <v>8</v>
      </c>
      <c r="AS85" t="s">
        <v>258</v>
      </c>
    </row>
    <row r="86" spans="1:45" x14ac:dyDescent="0.3">
      <c r="A86">
        <v>85</v>
      </c>
      <c r="B86" s="24">
        <v>46217.437662037039</v>
      </c>
      <c r="C86" s="24">
        <v>46217.447337962964</v>
      </c>
      <c r="D86" t="s">
        <v>45</v>
      </c>
      <c r="F86" s="1"/>
      <c r="G86" t="s">
        <v>100</v>
      </c>
      <c r="H86" t="s">
        <v>47</v>
      </c>
      <c r="I86" t="s">
        <v>133</v>
      </c>
      <c r="J86" t="s">
        <v>49</v>
      </c>
      <c r="K86" t="s">
        <v>259</v>
      </c>
      <c r="L86" t="s">
        <v>146</v>
      </c>
      <c r="M86" t="s">
        <v>146</v>
      </c>
      <c r="N86" t="s">
        <v>52</v>
      </c>
      <c r="O86" t="s">
        <v>53</v>
      </c>
      <c r="P86" t="s">
        <v>74</v>
      </c>
      <c r="Q86" t="s">
        <v>75</v>
      </c>
      <c r="R86" t="s">
        <v>76</v>
      </c>
      <c r="S86" t="s">
        <v>77</v>
      </c>
      <c r="T86" t="s">
        <v>58</v>
      </c>
      <c r="U86" t="s">
        <v>87</v>
      </c>
      <c r="V86" t="s">
        <v>79</v>
      </c>
      <c r="W86" t="s">
        <v>79</v>
      </c>
      <c r="X86" t="s">
        <v>79</v>
      </c>
      <c r="Y86" t="s">
        <v>79</v>
      </c>
      <c r="Z86" t="s">
        <v>59</v>
      </c>
      <c r="AA86" t="s">
        <v>79</v>
      </c>
      <c r="AB86" t="s">
        <v>79</v>
      </c>
      <c r="AC86" t="s">
        <v>79</v>
      </c>
      <c r="AD86" t="s">
        <v>80</v>
      </c>
      <c r="AE86" t="s">
        <v>61</v>
      </c>
      <c r="AF86" t="s">
        <v>62</v>
      </c>
      <c r="AG86" t="s">
        <v>63</v>
      </c>
      <c r="AH86" t="s">
        <v>63</v>
      </c>
      <c r="AI86" t="s">
        <v>81</v>
      </c>
      <c r="AJ86" t="s">
        <v>82</v>
      </c>
      <c r="AK86" t="s">
        <v>63</v>
      </c>
      <c r="AL86" t="s">
        <v>120</v>
      </c>
      <c r="AM86" t="s">
        <v>67</v>
      </c>
      <c r="AN86" t="s">
        <v>68</v>
      </c>
      <c r="AO86" t="s">
        <v>81</v>
      </c>
      <c r="AP86" t="s">
        <v>98</v>
      </c>
      <c r="AQ86" t="s">
        <v>81</v>
      </c>
      <c r="AR86" s="25">
        <v>7</v>
      </c>
      <c r="AS86" t="s">
        <v>260</v>
      </c>
    </row>
    <row r="87" spans="1:45" x14ac:dyDescent="0.3">
      <c r="A87">
        <v>86</v>
      </c>
      <c r="B87" s="24">
        <v>46217.502766203703</v>
      </c>
      <c r="C87" s="24">
        <v>46217.520601851851</v>
      </c>
      <c r="D87" t="s">
        <v>45</v>
      </c>
      <c r="F87" s="1"/>
      <c r="G87" t="s">
        <v>100</v>
      </c>
      <c r="H87" t="s">
        <v>91</v>
      </c>
      <c r="I87" t="s">
        <v>101</v>
      </c>
      <c r="J87" t="s">
        <v>49</v>
      </c>
      <c r="K87" t="s">
        <v>234</v>
      </c>
      <c r="L87" t="s">
        <v>51</v>
      </c>
      <c r="M87" t="s">
        <v>73</v>
      </c>
      <c r="N87" t="s">
        <v>52</v>
      </c>
      <c r="O87" t="s">
        <v>53</v>
      </c>
      <c r="P87" t="s">
        <v>74</v>
      </c>
      <c r="Q87" t="s">
        <v>75</v>
      </c>
      <c r="R87" t="s">
        <v>56</v>
      </c>
      <c r="S87" t="s">
        <v>57</v>
      </c>
      <c r="T87" t="s">
        <v>58</v>
      </c>
      <c r="U87" t="s">
        <v>79</v>
      </c>
      <c r="V87" t="s">
        <v>79</v>
      </c>
      <c r="W87" t="s">
        <v>79</v>
      </c>
      <c r="X87" t="s">
        <v>79</v>
      </c>
      <c r="Y87" t="s">
        <v>59</v>
      </c>
      <c r="Z87" t="s">
        <v>79</v>
      </c>
      <c r="AA87" t="s">
        <v>59</v>
      </c>
      <c r="AB87" t="s">
        <v>79</v>
      </c>
      <c r="AC87" t="s">
        <v>79</v>
      </c>
      <c r="AD87" t="s">
        <v>60</v>
      </c>
      <c r="AE87" t="s">
        <v>61</v>
      </c>
      <c r="AF87" t="s">
        <v>62</v>
      </c>
      <c r="AG87" t="s">
        <v>63</v>
      </c>
      <c r="AH87" t="s">
        <v>63</v>
      </c>
      <c r="AI87" t="s">
        <v>63</v>
      </c>
      <c r="AJ87" t="s">
        <v>65</v>
      </c>
      <c r="AK87" t="s">
        <v>63</v>
      </c>
      <c r="AL87" t="s">
        <v>120</v>
      </c>
      <c r="AM87" t="s">
        <v>67</v>
      </c>
      <c r="AN87" t="s">
        <v>89</v>
      </c>
      <c r="AO87" t="s">
        <v>81</v>
      </c>
      <c r="AP87" t="s">
        <v>107</v>
      </c>
      <c r="AQ87" t="s">
        <v>81</v>
      </c>
      <c r="AR87" s="25">
        <v>9</v>
      </c>
      <c r="AS87" t="s">
        <v>261</v>
      </c>
    </row>
    <row r="88" spans="1:45" x14ac:dyDescent="0.3">
      <c r="A88">
        <v>87</v>
      </c>
      <c r="B88" s="24">
        <v>46217.567893518521</v>
      </c>
      <c r="C88" s="24">
        <v>46217.586145833331</v>
      </c>
      <c r="D88" t="s">
        <v>45</v>
      </c>
      <c r="F88" s="1"/>
      <c r="G88" t="s">
        <v>46</v>
      </c>
      <c r="H88" t="s">
        <v>47</v>
      </c>
      <c r="I88" t="s">
        <v>133</v>
      </c>
      <c r="J88" t="s">
        <v>104</v>
      </c>
      <c r="K88" t="s">
        <v>262</v>
      </c>
      <c r="L88" t="s">
        <v>51</v>
      </c>
      <c r="M88" t="s">
        <v>51</v>
      </c>
      <c r="N88" t="s">
        <v>52</v>
      </c>
      <c r="O88" t="s">
        <v>53</v>
      </c>
      <c r="P88" t="s">
        <v>74</v>
      </c>
      <c r="Q88" t="s">
        <v>55</v>
      </c>
      <c r="R88" t="s">
        <v>56</v>
      </c>
      <c r="S88" t="s">
        <v>57</v>
      </c>
      <c r="T88" t="s">
        <v>93</v>
      </c>
      <c r="U88" t="s">
        <v>59</v>
      </c>
      <c r="V88" t="s">
        <v>59</v>
      </c>
      <c r="W88" t="s">
        <v>59</v>
      </c>
      <c r="X88" t="s">
        <v>59</v>
      </c>
      <c r="Y88" t="s">
        <v>59</v>
      </c>
      <c r="Z88" t="s">
        <v>59</v>
      </c>
      <c r="AA88" t="s">
        <v>59</v>
      </c>
      <c r="AB88" t="s">
        <v>59</v>
      </c>
      <c r="AC88" t="s">
        <v>59</v>
      </c>
      <c r="AD88" t="s">
        <v>60</v>
      </c>
      <c r="AE88" t="s">
        <v>94</v>
      </c>
      <c r="AF88" t="s">
        <v>119</v>
      </c>
      <c r="AG88" t="s">
        <v>63</v>
      </c>
      <c r="AH88" t="s">
        <v>63</v>
      </c>
      <c r="AI88" t="s">
        <v>63</v>
      </c>
      <c r="AJ88" t="s">
        <v>65</v>
      </c>
      <c r="AK88" t="s">
        <v>63</v>
      </c>
      <c r="AL88" t="s">
        <v>120</v>
      </c>
      <c r="AM88" t="s">
        <v>67</v>
      </c>
      <c r="AN88" t="s">
        <v>175</v>
      </c>
      <c r="AO88" t="s">
        <v>137</v>
      </c>
      <c r="AP88" t="s">
        <v>107</v>
      </c>
      <c r="AQ88" t="s">
        <v>137</v>
      </c>
      <c r="AR88" s="25">
        <v>10</v>
      </c>
      <c r="AS88" t="s">
        <v>263</v>
      </c>
    </row>
    <row r="89" spans="1:45" x14ac:dyDescent="0.3">
      <c r="A89">
        <v>88</v>
      </c>
      <c r="B89" s="24">
        <v>46217.628587962965</v>
      </c>
      <c r="C89" s="24">
        <v>46217.640474537038</v>
      </c>
      <c r="D89" t="s">
        <v>45</v>
      </c>
      <c r="F89" s="1"/>
      <c r="G89" t="s">
        <v>46</v>
      </c>
      <c r="H89" t="s">
        <v>47</v>
      </c>
      <c r="I89" t="s">
        <v>48</v>
      </c>
      <c r="J89" t="s">
        <v>104</v>
      </c>
      <c r="K89" t="s">
        <v>264</v>
      </c>
      <c r="L89" t="s">
        <v>51</v>
      </c>
      <c r="M89" t="s">
        <v>73</v>
      </c>
      <c r="N89" t="s">
        <v>116</v>
      </c>
      <c r="O89" t="s">
        <v>53</v>
      </c>
      <c r="P89" t="s">
        <v>74</v>
      </c>
      <c r="Q89" t="s">
        <v>55</v>
      </c>
      <c r="R89" t="s">
        <v>56</v>
      </c>
      <c r="S89" t="s">
        <v>57</v>
      </c>
      <c r="T89" t="s">
        <v>58</v>
      </c>
      <c r="U89" t="s">
        <v>87</v>
      </c>
      <c r="V89" t="s">
        <v>87</v>
      </c>
      <c r="W89" t="s">
        <v>87</v>
      </c>
      <c r="X89" t="s">
        <v>86</v>
      </c>
      <c r="Y89" t="s">
        <v>87</v>
      </c>
      <c r="Z89" t="s">
        <v>86</v>
      </c>
      <c r="AA89" t="s">
        <v>87</v>
      </c>
      <c r="AB89" t="s">
        <v>87</v>
      </c>
      <c r="AC89" t="s">
        <v>87</v>
      </c>
      <c r="AD89" t="s">
        <v>60</v>
      </c>
      <c r="AE89" t="s">
        <v>187</v>
      </c>
      <c r="AF89" t="s">
        <v>173</v>
      </c>
      <c r="AG89" t="s">
        <v>81</v>
      </c>
      <c r="AH89" t="s">
        <v>81</v>
      </c>
      <c r="AI89" t="s">
        <v>81</v>
      </c>
      <c r="AJ89" t="s">
        <v>82</v>
      </c>
      <c r="AK89" t="s">
        <v>81</v>
      </c>
      <c r="AL89" t="s">
        <v>66</v>
      </c>
      <c r="AM89" t="s">
        <v>67</v>
      </c>
      <c r="AN89" t="s">
        <v>137</v>
      </c>
      <c r="AO89" t="s">
        <v>81</v>
      </c>
      <c r="AP89" t="s">
        <v>107</v>
      </c>
      <c r="AQ89" t="s">
        <v>137</v>
      </c>
      <c r="AR89" s="25">
        <v>10</v>
      </c>
      <c r="AS89" t="s">
        <v>265</v>
      </c>
    </row>
    <row r="90" spans="1:45" x14ac:dyDescent="0.3">
      <c r="A90">
        <v>89</v>
      </c>
      <c r="B90" s="24">
        <v>46217.806631944448</v>
      </c>
      <c r="C90" s="24">
        <v>46217.818715277775</v>
      </c>
      <c r="D90" t="s">
        <v>45</v>
      </c>
      <c r="F90" s="1"/>
      <c r="G90" t="s">
        <v>46</v>
      </c>
      <c r="H90" t="s">
        <v>47</v>
      </c>
      <c r="I90" t="s">
        <v>48</v>
      </c>
      <c r="J90" t="s">
        <v>104</v>
      </c>
      <c r="K90" t="s">
        <v>152</v>
      </c>
      <c r="L90" t="s">
        <v>73</v>
      </c>
      <c r="M90" t="s">
        <v>73</v>
      </c>
      <c r="N90" t="s">
        <v>52</v>
      </c>
      <c r="O90" t="s">
        <v>53</v>
      </c>
      <c r="P90" t="s">
        <v>74</v>
      </c>
      <c r="Q90" t="s">
        <v>75</v>
      </c>
      <c r="R90" t="s">
        <v>76</v>
      </c>
      <c r="S90" t="s">
        <v>77</v>
      </c>
      <c r="T90" t="s">
        <v>58</v>
      </c>
      <c r="U90" t="s">
        <v>59</v>
      </c>
      <c r="V90" t="s">
        <v>79</v>
      </c>
      <c r="W90" t="s">
        <v>59</v>
      </c>
      <c r="X90" t="s">
        <v>59</v>
      </c>
      <c r="Y90" t="s">
        <v>59</v>
      </c>
      <c r="Z90" t="s">
        <v>59</v>
      </c>
      <c r="AA90" t="s">
        <v>59</v>
      </c>
      <c r="AB90" t="s">
        <v>79</v>
      </c>
      <c r="AC90" t="s">
        <v>59</v>
      </c>
      <c r="AD90" t="s">
        <v>60</v>
      </c>
      <c r="AE90" t="s">
        <v>88</v>
      </c>
      <c r="AF90" t="s">
        <v>62</v>
      </c>
      <c r="AG90" t="s">
        <v>63</v>
      </c>
      <c r="AH90" t="s">
        <v>63</v>
      </c>
      <c r="AI90" t="s">
        <v>63</v>
      </c>
      <c r="AJ90" t="s">
        <v>82</v>
      </c>
      <c r="AK90" t="s">
        <v>81</v>
      </c>
      <c r="AL90" t="s">
        <v>120</v>
      </c>
      <c r="AM90" t="s">
        <v>67</v>
      </c>
      <c r="AN90" t="s">
        <v>89</v>
      </c>
      <c r="AO90" t="s">
        <v>63</v>
      </c>
      <c r="AP90" t="s">
        <v>107</v>
      </c>
      <c r="AQ90" t="s">
        <v>63</v>
      </c>
      <c r="AR90" s="25">
        <v>8</v>
      </c>
      <c r="AS90" t="s">
        <v>266</v>
      </c>
    </row>
    <row r="91" spans="1:45" x14ac:dyDescent="0.3">
      <c r="A91">
        <v>90</v>
      </c>
      <c r="B91" s="24">
        <v>46217.85056712963</v>
      </c>
      <c r="C91" s="24">
        <v>46217.851493055554</v>
      </c>
      <c r="D91" t="s">
        <v>45</v>
      </c>
      <c r="F91" s="1"/>
      <c r="G91" t="s">
        <v>100</v>
      </c>
      <c r="H91" t="s">
        <v>91</v>
      </c>
      <c r="I91" t="s">
        <v>48</v>
      </c>
      <c r="J91" t="s">
        <v>162</v>
      </c>
      <c r="K91" t="s">
        <v>128</v>
      </c>
      <c r="L91" t="s">
        <v>73</v>
      </c>
      <c r="M91" t="s">
        <v>73</v>
      </c>
      <c r="N91" t="s">
        <v>52</v>
      </c>
      <c r="O91" t="s">
        <v>53</v>
      </c>
      <c r="P91" t="s">
        <v>74</v>
      </c>
      <c r="Q91" t="s">
        <v>55</v>
      </c>
      <c r="R91" t="s">
        <v>76</v>
      </c>
      <c r="S91" t="s">
        <v>77</v>
      </c>
      <c r="T91" t="s">
        <v>58</v>
      </c>
      <c r="U91" t="s">
        <v>79</v>
      </c>
      <c r="V91" t="s">
        <v>79</v>
      </c>
      <c r="W91" t="s">
        <v>79</v>
      </c>
      <c r="X91" t="s">
        <v>79</v>
      </c>
      <c r="Y91" t="s">
        <v>59</v>
      </c>
      <c r="Z91" t="s">
        <v>87</v>
      </c>
      <c r="AA91" t="s">
        <v>59</v>
      </c>
      <c r="AB91" t="s">
        <v>79</v>
      </c>
      <c r="AC91" t="s">
        <v>79</v>
      </c>
      <c r="AD91" t="s">
        <v>60</v>
      </c>
      <c r="AE91" t="s">
        <v>61</v>
      </c>
      <c r="AF91" t="s">
        <v>62</v>
      </c>
      <c r="AG91" t="s">
        <v>81</v>
      </c>
      <c r="AH91" t="s">
        <v>63</v>
      </c>
      <c r="AI91" t="s">
        <v>63</v>
      </c>
      <c r="AJ91" t="s">
        <v>82</v>
      </c>
      <c r="AK91" t="s">
        <v>63</v>
      </c>
      <c r="AL91" t="s">
        <v>66</v>
      </c>
      <c r="AM91" t="s">
        <v>67</v>
      </c>
      <c r="AN91" t="s">
        <v>68</v>
      </c>
      <c r="AO91" t="s">
        <v>63</v>
      </c>
      <c r="AP91" t="s">
        <v>107</v>
      </c>
      <c r="AQ91" t="s">
        <v>63</v>
      </c>
      <c r="AR91" s="25">
        <v>8</v>
      </c>
      <c r="AS91" t="s">
        <v>267</v>
      </c>
    </row>
    <row r="92" spans="1:45" x14ac:dyDescent="0.3">
      <c r="A92">
        <v>91</v>
      </c>
      <c r="B92" s="24">
        <v>46218.379780092589</v>
      </c>
      <c r="C92" s="24">
        <v>46218.383877314816</v>
      </c>
      <c r="D92" t="s">
        <v>45</v>
      </c>
      <c r="F92" s="1"/>
      <c r="G92" t="s">
        <v>46</v>
      </c>
      <c r="H92" t="s">
        <v>47</v>
      </c>
      <c r="I92" t="s">
        <v>101</v>
      </c>
      <c r="J92" t="s">
        <v>162</v>
      </c>
      <c r="K92" t="s">
        <v>268</v>
      </c>
      <c r="L92" t="s">
        <v>146</v>
      </c>
      <c r="M92" t="s">
        <v>73</v>
      </c>
      <c r="N92" t="s">
        <v>52</v>
      </c>
      <c r="O92" t="s">
        <v>53</v>
      </c>
      <c r="P92" t="s">
        <v>74</v>
      </c>
      <c r="Q92" t="s">
        <v>75</v>
      </c>
      <c r="R92" t="s">
        <v>56</v>
      </c>
      <c r="S92" t="s">
        <v>57</v>
      </c>
      <c r="T92" t="s">
        <v>58</v>
      </c>
      <c r="U92" t="s">
        <v>87</v>
      </c>
      <c r="V92" t="s">
        <v>79</v>
      </c>
      <c r="W92" t="s">
        <v>59</v>
      </c>
      <c r="X92" t="s">
        <v>59</v>
      </c>
      <c r="Y92" t="s">
        <v>59</v>
      </c>
      <c r="Z92" t="s">
        <v>87</v>
      </c>
      <c r="AA92" t="s">
        <v>79</v>
      </c>
      <c r="AB92" t="s">
        <v>79</v>
      </c>
      <c r="AC92" t="s">
        <v>59</v>
      </c>
      <c r="AD92" t="s">
        <v>60</v>
      </c>
      <c r="AE92" t="s">
        <v>94</v>
      </c>
      <c r="AF92" t="s">
        <v>62</v>
      </c>
      <c r="AG92" t="s">
        <v>63</v>
      </c>
      <c r="AH92" t="s">
        <v>64</v>
      </c>
      <c r="AI92" t="s">
        <v>63</v>
      </c>
      <c r="AJ92" t="s">
        <v>82</v>
      </c>
      <c r="AK92" t="s">
        <v>63</v>
      </c>
      <c r="AL92" t="s">
        <v>66</v>
      </c>
      <c r="AM92" t="s">
        <v>67</v>
      </c>
      <c r="AN92" t="s">
        <v>175</v>
      </c>
      <c r="AO92" t="s">
        <v>63</v>
      </c>
      <c r="AP92" t="s">
        <v>98</v>
      </c>
      <c r="AQ92" t="s">
        <v>64</v>
      </c>
      <c r="AR92" s="25">
        <v>8</v>
      </c>
      <c r="AS92" t="s">
        <v>269</v>
      </c>
    </row>
    <row r="93" spans="1:45" x14ac:dyDescent="0.3">
      <c r="A93">
        <v>92</v>
      </c>
      <c r="B93" s="24">
        <v>46218.38144675926</v>
      </c>
      <c r="C93" s="24">
        <v>46218.384872685187</v>
      </c>
      <c r="D93" t="s">
        <v>45</v>
      </c>
      <c r="F93" s="1"/>
      <c r="G93" t="s">
        <v>46</v>
      </c>
      <c r="H93" t="s">
        <v>47</v>
      </c>
      <c r="I93" t="s">
        <v>113</v>
      </c>
      <c r="J93" t="s">
        <v>49</v>
      </c>
      <c r="K93" t="s">
        <v>270</v>
      </c>
      <c r="L93" t="s">
        <v>146</v>
      </c>
      <c r="M93" t="s">
        <v>73</v>
      </c>
      <c r="N93" t="s">
        <v>52</v>
      </c>
      <c r="O93" t="s">
        <v>53</v>
      </c>
      <c r="P93" t="s">
        <v>74</v>
      </c>
      <c r="Q93" t="s">
        <v>75</v>
      </c>
      <c r="R93" t="s">
        <v>76</v>
      </c>
      <c r="S93" t="s">
        <v>77</v>
      </c>
      <c r="T93" t="s">
        <v>58</v>
      </c>
      <c r="U93" t="s">
        <v>79</v>
      </c>
      <c r="V93" t="s">
        <v>86</v>
      </c>
      <c r="W93" t="s">
        <v>86</v>
      </c>
      <c r="X93" t="s">
        <v>87</v>
      </c>
      <c r="Y93" t="s">
        <v>79</v>
      </c>
      <c r="Z93" t="s">
        <v>87</v>
      </c>
      <c r="AA93" t="s">
        <v>87</v>
      </c>
      <c r="AB93" t="s">
        <v>87</v>
      </c>
      <c r="AC93" t="s">
        <v>87</v>
      </c>
      <c r="AD93" t="s">
        <v>60</v>
      </c>
      <c r="AE93" t="s">
        <v>88</v>
      </c>
      <c r="AF93" t="s">
        <v>147</v>
      </c>
      <c r="AG93" t="s">
        <v>63</v>
      </c>
      <c r="AH93" t="s">
        <v>63</v>
      </c>
      <c r="AI93" t="s">
        <v>63</v>
      </c>
      <c r="AJ93" t="s">
        <v>82</v>
      </c>
      <c r="AK93" t="s">
        <v>63</v>
      </c>
      <c r="AL93" t="s">
        <v>66</v>
      </c>
      <c r="AM93" t="s">
        <v>67</v>
      </c>
      <c r="AN93" t="s">
        <v>89</v>
      </c>
      <c r="AO93" t="s">
        <v>63</v>
      </c>
      <c r="AP93" t="s">
        <v>107</v>
      </c>
      <c r="AQ93" t="s">
        <v>63</v>
      </c>
      <c r="AR93" s="25">
        <v>8</v>
      </c>
      <c r="AS93" t="s">
        <v>271</v>
      </c>
    </row>
    <row r="94" spans="1:45" x14ac:dyDescent="0.3">
      <c r="A94">
        <v>93</v>
      </c>
      <c r="B94" s="24">
        <v>46218.380474537036</v>
      </c>
      <c r="C94" s="24">
        <v>46218.385023148148</v>
      </c>
      <c r="D94" t="s">
        <v>45</v>
      </c>
      <c r="F94" s="1"/>
      <c r="G94" t="s">
        <v>46</v>
      </c>
      <c r="H94" t="s">
        <v>47</v>
      </c>
      <c r="I94" t="s">
        <v>48</v>
      </c>
      <c r="J94" t="s">
        <v>49</v>
      </c>
      <c r="K94" t="s">
        <v>109</v>
      </c>
      <c r="L94" t="s">
        <v>73</v>
      </c>
      <c r="M94" t="s">
        <v>73</v>
      </c>
      <c r="N94" t="s">
        <v>52</v>
      </c>
      <c r="O94" t="s">
        <v>53</v>
      </c>
      <c r="P94" t="s">
        <v>74</v>
      </c>
      <c r="Q94" t="s">
        <v>75</v>
      </c>
      <c r="R94" t="s">
        <v>76</v>
      </c>
      <c r="S94" t="s">
        <v>77</v>
      </c>
      <c r="T94" t="s">
        <v>58</v>
      </c>
      <c r="U94" t="s">
        <v>86</v>
      </c>
      <c r="V94" t="s">
        <v>59</v>
      </c>
      <c r="W94" t="s">
        <v>59</v>
      </c>
      <c r="X94" t="s">
        <v>59</v>
      </c>
      <c r="Y94" t="s">
        <v>79</v>
      </c>
      <c r="Z94" t="s">
        <v>79</v>
      </c>
      <c r="AA94" t="s">
        <v>87</v>
      </c>
      <c r="AB94" t="s">
        <v>59</v>
      </c>
      <c r="AC94" t="s">
        <v>59</v>
      </c>
      <c r="AD94" t="s">
        <v>80</v>
      </c>
      <c r="AE94" t="s">
        <v>61</v>
      </c>
      <c r="AF94" t="s">
        <v>62</v>
      </c>
      <c r="AG94" t="s">
        <v>63</v>
      </c>
      <c r="AH94" t="s">
        <v>63</v>
      </c>
      <c r="AI94" t="s">
        <v>63</v>
      </c>
      <c r="AJ94" t="s">
        <v>82</v>
      </c>
      <c r="AK94" t="s">
        <v>63</v>
      </c>
      <c r="AL94" t="s">
        <v>102</v>
      </c>
      <c r="AM94" t="s">
        <v>67</v>
      </c>
      <c r="AN94" t="s">
        <v>68</v>
      </c>
      <c r="AO94" t="s">
        <v>63</v>
      </c>
      <c r="AP94" t="s">
        <v>98</v>
      </c>
      <c r="AQ94" t="s">
        <v>63</v>
      </c>
      <c r="AR94" s="25">
        <v>8</v>
      </c>
      <c r="AS94" t="s">
        <v>272</v>
      </c>
    </row>
    <row r="95" spans="1:45" x14ac:dyDescent="0.3">
      <c r="A95">
        <v>94</v>
      </c>
      <c r="B95" s="24">
        <v>46218.381319444445</v>
      </c>
      <c r="C95" s="24">
        <v>46218.385150462964</v>
      </c>
      <c r="D95" t="s">
        <v>45</v>
      </c>
      <c r="F95" s="1"/>
      <c r="G95" t="s">
        <v>46</v>
      </c>
      <c r="H95" t="s">
        <v>91</v>
      </c>
      <c r="I95" t="s">
        <v>48</v>
      </c>
      <c r="J95" t="s">
        <v>186</v>
      </c>
      <c r="K95" t="s">
        <v>273</v>
      </c>
      <c r="L95" t="s">
        <v>73</v>
      </c>
      <c r="M95" t="s">
        <v>51</v>
      </c>
      <c r="N95" t="s">
        <v>52</v>
      </c>
      <c r="O95" t="s">
        <v>53</v>
      </c>
      <c r="P95" t="s">
        <v>74</v>
      </c>
      <c r="Q95" t="s">
        <v>55</v>
      </c>
      <c r="R95" t="s">
        <v>76</v>
      </c>
      <c r="S95" t="s">
        <v>77</v>
      </c>
      <c r="T95" t="s">
        <v>58</v>
      </c>
      <c r="U95" t="s">
        <v>59</v>
      </c>
      <c r="V95" t="s">
        <v>59</v>
      </c>
      <c r="W95" t="s">
        <v>59</v>
      </c>
      <c r="X95" t="s">
        <v>59</v>
      </c>
      <c r="Y95" t="s">
        <v>59</v>
      </c>
      <c r="Z95" t="s">
        <v>59</v>
      </c>
      <c r="AA95" t="s">
        <v>59</v>
      </c>
      <c r="AB95" t="s">
        <v>59</v>
      </c>
      <c r="AC95" t="s">
        <v>59</v>
      </c>
      <c r="AD95" t="s">
        <v>60</v>
      </c>
      <c r="AE95" t="s">
        <v>61</v>
      </c>
      <c r="AF95" t="s">
        <v>62</v>
      </c>
      <c r="AG95" t="s">
        <v>63</v>
      </c>
      <c r="AH95" t="s">
        <v>63</v>
      </c>
      <c r="AI95" t="s">
        <v>63</v>
      </c>
      <c r="AJ95" t="s">
        <v>65</v>
      </c>
      <c r="AK95" t="s">
        <v>63</v>
      </c>
      <c r="AL95" t="s">
        <v>120</v>
      </c>
      <c r="AM95" t="s">
        <v>67</v>
      </c>
      <c r="AN95" t="s">
        <v>68</v>
      </c>
      <c r="AO95" t="s">
        <v>63</v>
      </c>
      <c r="AP95" t="s">
        <v>69</v>
      </c>
      <c r="AQ95" t="s">
        <v>63</v>
      </c>
      <c r="AR95" s="25">
        <v>9</v>
      </c>
      <c r="AS95" t="s">
        <v>274</v>
      </c>
    </row>
    <row r="96" spans="1:45" x14ac:dyDescent="0.3">
      <c r="A96">
        <v>95</v>
      </c>
      <c r="B96" s="24">
        <v>46218.38417824074</v>
      </c>
      <c r="C96" s="24">
        <v>46218.386874999997</v>
      </c>
      <c r="D96" t="s">
        <v>45</v>
      </c>
      <c r="F96" s="1"/>
      <c r="G96" t="s">
        <v>100</v>
      </c>
      <c r="H96" t="s">
        <v>91</v>
      </c>
      <c r="I96" t="s">
        <v>48</v>
      </c>
      <c r="J96" t="s">
        <v>71</v>
      </c>
      <c r="K96" t="s">
        <v>275</v>
      </c>
      <c r="L96" t="s">
        <v>51</v>
      </c>
      <c r="M96" t="s">
        <v>51</v>
      </c>
      <c r="N96" t="s">
        <v>116</v>
      </c>
      <c r="O96" t="s">
        <v>53</v>
      </c>
      <c r="P96" t="s">
        <v>74</v>
      </c>
      <c r="Q96" t="s">
        <v>55</v>
      </c>
      <c r="R96" t="s">
        <v>56</v>
      </c>
      <c r="S96" t="s">
        <v>57</v>
      </c>
      <c r="T96" t="s">
        <v>58</v>
      </c>
      <c r="U96" t="s">
        <v>87</v>
      </c>
      <c r="V96" t="s">
        <v>79</v>
      </c>
      <c r="W96" t="s">
        <v>59</v>
      </c>
      <c r="X96" t="s">
        <v>59</v>
      </c>
      <c r="Y96" t="s">
        <v>79</v>
      </c>
      <c r="Z96" t="s">
        <v>87</v>
      </c>
      <c r="AA96" t="s">
        <v>59</v>
      </c>
      <c r="AB96" t="s">
        <v>79</v>
      </c>
      <c r="AC96" t="s">
        <v>59</v>
      </c>
      <c r="AD96" t="s">
        <v>60</v>
      </c>
      <c r="AE96" t="s">
        <v>94</v>
      </c>
      <c r="AF96" t="s">
        <v>119</v>
      </c>
      <c r="AG96" t="s">
        <v>64</v>
      </c>
      <c r="AH96" t="s">
        <v>63</v>
      </c>
      <c r="AI96" t="s">
        <v>64</v>
      </c>
      <c r="AJ96" t="s">
        <v>65</v>
      </c>
      <c r="AK96" t="s">
        <v>63</v>
      </c>
      <c r="AL96" t="s">
        <v>66</v>
      </c>
      <c r="AM96" t="s">
        <v>67</v>
      </c>
      <c r="AN96" t="s">
        <v>68</v>
      </c>
      <c r="AO96" t="s">
        <v>64</v>
      </c>
      <c r="AP96" t="s">
        <v>107</v>
      </c>
      <c r="AQ96" t="s">
        <v>64</v>
      </c>
      <c r="AR96" s="25">
        <v>9</v>
      </c>
      <c r="AS96" t="s">
        <v>276</v>
      </c>
    </row>
    <row r="97" spans="1:45" x14ac:dyDescent="0.3">
      <c r="A97">
        <v>96</v>
      </c>
      <c r="B97" s="24">
        <v>46218.381018518521</v>
      </c>
      <c r="C97" s="24">
        <v>46218.387025462966</v>
      </c>
      <c r="D97" t="s">
        <v>45</v>
      </c>
      <c r="F97" s="1"/>
      <c r="G97" t="s">
        <v>100</v>
      </c>
      <c r="H97" t="s">
        <v>91</v>
      </c>
      <c r="I97" t="s">
        <v>101</v>
      </c>
      <c r="J97" t="s">
        <v>104</v>
      </c>
      <c r="K97" t="s">
        <v>277</v>
      </c>
      <c r="L97" t="s">
        <v>51</v>
      </c>
      <c r="M97" t="s">
        <v>73</v>
      </c>
      <c r="N97" t="s">
        <v>52</v>
      </c>
      <c r="O97" t="s">
        <v>53</v>
      </c>
      <c r="P97" t="s">
        <v>74</v>
      </c>
      <c r="Q97" t="s">
        <v>55</v>
      </c>
      <c r="R97" t="s">
        <v>76</v>
      </c>
      <c r="S97" t="s">
        <v>77</v>
      </c>
      <c r="T97" t="s">
        <v>58</v>
      </c>
      <c r="U97" t="s">
        <v>79</v>
      </c>
      <c r="V97" t="s">
        <v>59</v>
      </c>
      <c r="W97" t="s">
        <v>59</v>
      </c>
      <c r="X97" t="s">
        <v>79</v>
      </c>
      <c r="Y97" t="s">
        <v>59</v>
      </c>
      <c r="Z97" t="s">
        <v>79</v>
      </c>
      <c r="AA97" t="s">
        <v>79</v>
      </c>
      <c r="AB97" t="s">
        <v>79</v>
      </c>
      <c r="AC97" t="s">
        <v>79</v>
      </c>
      <c r="AD97" t="s">
        <v>60</v>
      </c>
      <c r="AE97" t="s">
        <v>61</v>
      </c>
      <c r="AF97" t="s">
        <v>62</v>
      </c>
      <c r="AG97" t="s">
        <v>63</v>
      </c>
      <c r="AH97" t="s">
        <v>63</v>
      </c>
      <c r="AI97" t="s">
        <v>63</v>
      </c>
      <c r="AJ97" t="s">
        <v>65</v>
      </c>
      <c r="AK97" t="s">
        <v>63</v>
      </c>
      <c r="AL97" t="s">
        <v>120</v>
      </c>
      <c r="AM97" t="s">
        <v>121</v>
      </c>
      <c r="AN97" t="s">
        <v>89</v>
      </c>
      <c r="AO97" t="s">
        <v>63</v>
      </c>
      <c r="AP97" t="s">
        <v>98</v>
      </c>
      <c r="AQ97" t="s">
        <v>63</v>
      </c>
      <c r="AR97" s="25">
        <v>9</v>
      </c>
      <c r="AS97" t="s">
        <v>278</v>
      </c>
    </row>
    <row r="98" spans="1:45" x14ac:dyDescent="0.3">
      <c r="A98">
        <v>97</v>
      </c>
      <c r="B98" s="24">
        <v>46218.380347222221</v>
      </c>
      <c r="C98" s="24">
        <v>46218.387303240743</v>
      </c>
      <c r="D98" t="s">
        <v>45</v>
      </c>
      <c r="F98" s="1"/>
      <c r="G98" t="s">
        <v>46</v>
      </c>
      <c r="H98" t="s">
        <v>47</v>
      </c>
      <c r="I98" t="s">
        <v>48</v>
      </c>
      <c r="J98" t="s">
        <v>49</v>
      </c>
      <c r="K98" t="s">
        <v>279</v>
      </c>
      <c r="L98" t="s">
        <v>73</v>
      </c>
      <c r="M98" t="s">
        <v>73</v>
      </c>
      <c r="N98" t="s">
        <v>52</v>
      </c>
      <c r="O98" t="s">
        <v>53</v>
      </c>
      <c r="P98" t="s">
        <v>74</v>
      </c>
      <c r="Q98" t="s">
        <v>75</v>
      </c>
      <c r="R98" t="s">
        <v>76</v>
      </c>
      <c r="S98" t="s">
        <v>77</v>
      </c>
      <c r="T98" t="s">
        <v>58</v>
      </c>
      <c r="U98" t="s">
        <v>59</v>
      </c>
      <c r="V98" t="s">
        <v>87</v>
      </c>
      <c r="W98" t="s">
        <v>59</v>
      </c>
      <c r="X98" t="s">
        <v>59</v>
      </c>
      <c r="Y98" t="s">
        <v>59</v>
      </c>
      <c r="Z98" t="s">
        <v>59</v>
      </c>
      <c r="AA98" t="s">
        <v>79</v>
      </c>
      <c r="AB98" t="s">
        <v>59</v>
      </c>
      <c r="AC98" t="s">
        <v>59</v>
      </c>
      <c r="AD98" t="s">
        <v>60</v>
      </c>
      <c r="AE98" t="s">
        <v>61</v>
      </c>
      <c r="AF98" t="s">
        <v>62</v>
      </c>
      <c r="AG98" t="s">
        <v>63</v>
      </c>
      <c r="AH98" t="s">
        <v>63</v>
      </c>
      <c r="AI98" t="s">
        <v>63</v>
      </c>
      <c r="AJ98" t="s">
        <v>65</v>
      </c>
      <c r="AK98" t="s">
        <v>63</v>
      </c>
      <c r="AL98" t="s">
        <v>120</v>
      </c>
      <c r="AM98" t="s">
        <v>67</v>
      </c>
      <c r="AN98" t="s">
        <v>68</v>
      </c>
      <c r="AO98" t="s">
        <v>63</v>
      </c>
      <c r="AP98" t="s">
        <v>69</v>
      </c>
      <c r="AQ98" t="s">
        <v>63</v>
      </c>
      <c r="AR98" s="25">
        <v>9</v>
      </c>
      <c r="AS98" t="s">
        <v>280</v>
      </c>
    </row>
    <row r="99" spans="1:45" x14ac:dyDescent="0.3">
      <c r="A99">
        <v>98</v>
      </c>
      <c r="B99" s="24">
        <v>46218.380509259259</v>
      </c>
      <c r="C99" s="24">
        <v>46218.387372685182</v>
      </c>
      <c r="D99" t="s">
        <v>45</v>
      </c>
      <c r="F99" s="1"/>
      <c r="G99" t="s">
        <v>46</v>
      </c>
      <c r="H99" t="s">
        <v>47</v>
      </c>
      <c r="I99" t="s">
        <v>48</v>
      </c>
      <c r="J99" t="s">
        <v>49</v>
      </c>
      <c r="K99" t="s">
        <v>109</v>
      </c>
      <c r="L99" t="s">
        <v>51</v>
      </c>
      <c r="M99" t="s">
        <v>51</v>
      </c>
      <c r="N99" t="s">
        <v>52</v>
      </c>
      <c r="O99" t="s">
        <v>53</v>
      </c>
      <c r="P99" t="s">
        <v>74</v>
      </c>
      <c r="Q99" t="s">
        <v>75</v>
      </c>
      <c r="R99" t="s">
        <v>76</v>
      </c>
      <c r="S99" t="s">
        <v>77</v>
      </c>
      <c r="T99" t="s">
        <v>58</v>
      </c>
      <c r="U99" t="s">
        <v>59</v>
      </c>
      <c r="V99" t="s">
        <v>59</v>
      </c>
      <c r="W99" t="s">
        <v>59</v>
      </c>
      <c r="X99" t="s">
        <v>59</v>
      </c>
      <c r="Y99" t="s">
        <v>59</v>
      </c>
      <c r="Z99" t="s">
        <v>59</v>
      </c>
      <c r="AA99" t="s">
        <v>59</v>
      </c>
      <c r="AB99" t="s">
        <v>59</v>
      </c>
      <c r="AC99" t="s">
        <v>59</v>
      </c>
      <c r="AD99" t="s">
        <v>60</v>
      </c>
      <c r="AE99" t="s">
        <v>61</v>
      </c>
      <c r="AF99" t="s">
        <v>119</v>
      </c>
      <c r="AG99" t="s">
        <v>63</v>
      </c>
      <c r="AH99" t="s">
        <v>63</v>
      </c>
      <c r="AI99" t="s">
        <v>63</v>
      </c>
      <c r="AJ99" t="s">
        <v>65</v>
      </c>
      <c r="AK99" t="s">
        <v>63</v>
      </c>
      <c r="AL99" t="s">
        <v>120</v>
      </c>
      <c r="AM99" t="s">
        <v>67</v>
      </c>
      <c r="AN99" t="s">
        <v>89</v>
      </c>
      <c r="AO99" t="s">
        <v>63</v>
      </c>
      <c r="AP99" t="s">
        <v>69</v>
      </c>
      <c r="AQ99" t="s">
        <v>63</v>
      </c>
      <c r="AR99" s="25">
        <v>8</v>
      </c>
      <c r="AS99" t="s">
        <v>281</v>
      </c>
    </row>
    <row r="100" spans="1:45" x14ac:dyDescent="0.3">
      <c r="A100">
        <v>99</v>
      </c>
      <c r="B100" s="24">
        <v>46218.385567129626</v>
      </c>
      <c r="C100" s="24">
        <v>46218.387488425928</v>
      </c>
      <c r="D100" t="s">
        <v>45</v>
      </c>
      <c r="F100" s="1"/>
      <c r="G100" t="s">
        <v>100</v>
      </c>
      <c r="H100" t="s">
        <v>47</v>
      </c>
      <c r="I100" t="s">
        <v>48</v>
      </c>
      <c r="J100" t="s">
        <v>162</v>
      </c>
      <c r="K100" t="s">
        <v>282</v>
      </c>
      <c r="L100" t="s">
        <v>51</v>
      </c>
      <c r="M100" t="s">
        <v>73</v>
      </c>
      <c r="N100" t="s">
        <v>116</v>
      </c>
      <c r="O100" t="s">
        <v>53</v>
      </c>
      <c r="P100" t="s">
        <v>74</v>
      </c>
      <c r="Q100" t="s">
        <v>55</v>
      </c>
      <c r="R100" t="s">
        <v>76</v>
      </c>
      <c r="S100" t="s">
        <v>77</v>
      </c>
      <c r="T100" t="s">
        <v>58</v>
      </c>
      <c r="U100" t="s">
        <v>59</v>
      </c>
      <c r="V100" t="s">
        <v>59</v>
      </c>
      <c r="W100" t="s">
        <v>59</v>
      </c>
      <c r="X100" t="s">
        <v>59</v>
      </c>
      <c r="Y100" t="s">
        <v>59</v>
      </c>
      <c r="Z100" t="s">
        <v>59</v>
      </c>
      <c r="AA100" t="s">
        <v>59</v>
      </c>
      <c r="AB100" t="s">
        <v>59</v>
      </c>
      <c r="AC100" t="s">
        <v>59</v>
      </c>
      <c r="AD100" t="s">
        <v>60</v>
      </c>
      <c r="AE100" t="s">
        <v>61</v>
      </c>
      <c r="AF100" t="s">
        <v>62</v>
      </c>
      <c r="AG100" t="s">
        <v>63</v>
      </c>
      <c r="AH100" t="s">
        <v>63</v>
      </c>
      <c r="AI100" t="s">
        <v>63</v>
      </c>
      <c r="AJ100" t="s">
        <v>65</v>
      </c>
      <c r="AK100" t="s">
        <v>63</v>
      </c>
      <c r="AL100" t="s">
        <v>66</v>
      </c>
      <c r="AM100" t="s">
        <v>67</v>
      </c>
      <c r="AN100" t="s">
        <v>68</v>
      </c>
      <c r="AO100" t="s">
        <v>63</v>
      </c>
      <c r="AP100" t="s">
        <v>69</v>
      </c>
      <c r="AQ100" t="s">
        <v>63</v>
      </c>
      <c r="AR100" s="25">
        <v>9</v>
      </c>
      <c r="AS100" t="s">
        <v>283</v>
      </c>
    </row>
    <row r="101" spans="1:45" x14ac:dyDescent="0.3">
      <c r="A101">
        <v>100</v>
      </c>
      <c r="B101" s="24">
        <v>46218.38554398148</v>
      </c>
      <c r="C101" s="24">
        <v>46218.388124999998</v>
      </c>
      <c r="D101" t="s">
        <v>45</v>
      </c>
      <c r="F101" s="1"/>
      <c r="G101" t="s">
        <v>100</v>
      </c>
      <c r="H101" t="s">
        <v>91</v>
      </c>
      <c r="I101" t="s">
        <v>101</v>
      </c>
      <c r="J101" t="s">
        <v>162</v>
      </c>
      <c r="K101" t="s">
        <v>284</v>
      </c>
      <c r="L101" t="s">
        <v>73</v>
      </c>
      <c r="M101" t="s">
        <v>73</v>
      </c>
      <c r="N101" t="s">
        <v>52</v>
      </c>
      <c r="O101" t="s">
        <v>53</v>
      </c>
      <c r="P101" t="s">
        <v>74</v>
      </c>
      <c r="Q101" t="s">
        <v>75</v>
      </c>
      <c r="R101" t="s">
        <v>56</v>
      </c>
      <c r="S101" t="s">
        <v>57</v>
      </c>
      <c r="T101" t="s">
        <v>93</v>
      </c>
      <c r="U101" t="s">
        <v>59</v>
      </c>
      <c r="V101" t="s">
        <v>59</v>
      </c>
      <c r="W101" t="s">
        <v>59</v>
      </c>
      <c r="X101" t="s">
        <v>59</v>
      </c>
      <c r="Y101" t="s">
        <v>59</v>
      </c>
      <c r="Z101" t="s">
        <v>59</v>
      </c>
      <c r="AA101" t="s">
        <v>59</v>
      </c>
      <c r="AB101" t="s">
        <v>59</v>
      </c>
      <c r="AC101" t="s">
        <v>59</v>
      </c>
      <c r="AD101" t="s">
        <v>60</v>
      </c>
      <c r="AE101" t="s">
        <v>61</v>
      </c>
      <c r="AF101" t="s">
        <v>62</v>
      </c>
      <c r="AG101" t="s">
        <v>63</v>
      </c>
      <c r="AH101" t="s">
        <v>63</v>
      </c>
      <c r="AI101" t="s">
        <v>63</v>
      </c>
      <c r="AJ101" t="s">
        <v>65</v>
      </c>
      <c r="AK101" t="s">
        <v>63</v>
      </c>
      <c r="AL101" t="s">
        <v>120</v>
      </c>
      <c r="AM101" t="s">
        <v>67</v>
      </c>
      <c r="AN101" t="s">
        <v>89</v>
      </c>
      <c r="AO101" t="s">
        <v>63</v>
      </c>
      <c r="AP101" t="s">
        <v>69</v>
      </c>
      <c r="AQ101" t="s">
        <v>63</v>
      </c>
      <c r="AR101" s="25">
        <v>8</v>
      </c>
      <c r="AS101" t="s">
        <v>285</v>
      </c>
    </row>
    <row r="102" spans="1:45" x14ac:dyDescent="0.3">
      <c r="A102">
        <v>101</v>
      </c>
      <c r="B102" s="24">
        <v>46218.380381944444</v>
      </c>
      <c r="C102" s="24">
        <v>46218.388819444444</v>
      </c>
      <c r="D102" t="s">
        <v>45</v>
      </c>
      <c r="F102" s="1"/>
      <c r="G102" t="s">
        <v>46</v>
      </c>
      <c r="H102" t="s">
        <v>112</v>
      </c>
      <c r="I102" t="s">
        <v>48</v>
      </c>
      <c r="J102" t="s">
        <v>49</v>
      </c>
      <c r="K102" t="s">
        <v>286</v>
      </c>
      <c r="L102" t="s">
        <v>73</v>
      </c>
      <c r="M102" t="s">
        <v>73</v>
      </c>
      <c r="N102" t="s">
        <v>52</v>
      </c>
      <c r="O102" t="s">
        <v>53</v>
      </c>
      <c r="P102" t="s">
        <v>74</v>
      </c>
      <c r="Q102" t="s">
        <v>75</v>
      </c>
      <c r="R102" t="s">
        <v>76</v>
      </c>
      <c r="S102" t="s">
        <v>77</v>
      </c>
      <c r="T102" t="s">
        <v>58</v>
      </c>
      <c r="U102" t="s">
        <v>79</v>
      </c>
      <c r="V102" t="s">
        <v>59</v>
      </c>
      <c r="W102" t="s">
        <v>59</v>
      </c>
      <c r="X102" t="s">
        <v>79</v>
      </c>
      <c r="Y102" t="s">
        <v>59</v>
      </c>
      <c r="Z102" t="s">
        <v>59</v>
      </c>
      <c r="AA102" t="s">
        <v>59</v>
      </c>
      <c r="AB102" t="s">
        <v>79</v>
      </c>
      <c r="AC102" t="s">
        <v>59</v>
      </c>
      <c r="AD102" t="s">
        <v>80</v>
      </c>
      <c r="AE102" t="s">
        <v>61</v>
      </c>
      <c r="AF102" t="s">
        <v>62</v>
      </c>
      <c r="AG102" t="s">
        <v>63</v>
      </c>
      <c r="AH102" t="s">
        <v>63</v>
      </c>
      <c r="AI102" t="s">
        <v>63</v>
      </c>
      <c r="AJ102" t="s">
        <v>82</v>
      </c>
      <c r="AK102" t="s">
        <v>63</v>
      </c>
      <c r="AL102" t="s">
        <v>66</v>
      </c>
      <c r="AM102" t="s">
        <v>121</v>
      </c>
      <c r="AN102" t="s">
        <v>68</v>
      </c>
      <c r="AO102" t="s">
        <v>63</v>
      </c>
      <c r="AP102" t="s">
        <v>69</v>
      </c>
      <c r="AQ102" t="s">
        <v>63</v>
      </c>
      <c r="AR102" s="25">
        <v>8</v>
      </c>
      <c r="AS102" t="s">
        <v>287</v>
      </c>
    </row>
    <row r="103" spans="1:45" x14ac:dyDescent="0.3">
      <c r="A103">
        <v>102</v>
      </c>
      <c r="B103" s="24">
        <v>46218.387199074074</v>
      </c>
      <c r="C103" s="24">
        <v>46218.389236111114</v>
      </c>
      <c r="D103" t="s">
        <v>45</v>
      </c>
      <c r="F103" s="1"/>
      <c r="G103" t="s">
        <v>46</v>
      </c>
      <c r="H103" t="s">
        <v>91</v>
      </c>
      <c r="I103" t="s">
        <v>48</v>
      </c>
      <c r="J103" t="s">
        <v>49</v>
      </c>
      <c r="K103" t="s">
        <v>109</v>
      </c>
      <c r="L103" t="s">
        <v>51</v>
      </c>
      <c r="M103" t="s">
        <v>51</v>
      </c>
      <c r="N103" t="s">
        <v>116</v>
      </c>
      <c r="O103" t="s">
        <v>53</v>
      </c>
      <c r="P103" t="s">
        <v>54</v>
      </c>
      <c r="Q103" t="s">
        <v>55</v>
      </c>
      <c r="R103" t="s">
        <v>56</v>
      </c>
      <c r="S103" t="s">
        <v>57</v>
      </c>
      <c r="T103" t="s">
        <v>58</v>
      </c>
      <c r="U103" t="s">
        <v>87</v>
      </c>
      <c r="V103" t="s">
        <v>59</v>
      </c>
      <c r="W103" t="s">
        <v>59</v>
      </c>
      <c r="X103" t="s">
        <v>59</v>
      </c>
      <c r="Y103" t="s">
        <v>59</v>
      </c>
      <c r="Z103" t="s">
        <v>87</v>
      </c>
      <c r="AA103" t="s">
        <v>59</v>
      </c>
      <c r="AB103" t="s">
        <v>79</v>
      </c>
      <c r="AC103" t="s">
        <v>59</v>
      </c>
      <c r="AD103" t="s">
        <v>60</v>
      </c>
      <c r="AE103" t="s">
        <v>94</v>
      </c>
      <c r="AF103" t="s">
        <v>119</v>
      </c>
      <c r="AG103" t="s">
        <v>64</v>
      </c>
      <c r="AH103" t="s">
        <v>64</v>
      </c>
      <c r="AI103" t="s">
        <v>64</v>
      </c>
      <c r="AJ103" t="s">
        <v>65</v>
      </c>
      <c r="AK103" t="s">
        <v>63</v>
      </c>
      <c r="AL103" t="s">
        <v>120</v>
      </c>
      <c r="AM103" t="s">
        <v>67</v>
      </c>
      <c r="AN103" t="s">
        <v>68</v>
      </c>
      <c r="AO103" t="s">
        <v>63</v>
      </c>
      <c r="AP103" t="s">
        <v>69</v>
      </c>
      <c r="AQ103" t="s">
        <v>64</v>
      </c>
      <c r="AR103" s="25">
        <v>8</v>
      </c>
      <c r="AS103" t="s">
        <v>288</v>
      </c>
    </row>
    <row r="104" spans="1:45" x14ac:dyDescent="0.3">
      <c r="A104">
        <v>103</v>
      </c>
      <c r="B104" s="24">
        <v>46218.387835648151</v>
      </c>
      <c r="C104" s="24">
        <v>46218.389398148145</v>
      </c>
      <c r="D104" t="s">
        <v>45</v>
      </c>
      <c r="F104" s="1"/>
      <c r="G104" t="s">
        <v>46</v>
      </c>
      <c r="H104" t="s">
        <v>112</v>
      </c>
      <c r="I104" t="s">
        <v>101</v>
      </c>
      <c r="J104" t="s">
        <v>104</v>
      </c>
      <c r="K104" t="s">
        <v>289</v>
      </c>
      <c r="L104" t="s">
        <v>73</v>
      </c>
      <c r="M104" t="s">
        <v>51</v>
      </c>
      <c r="N104" t="s">
        <v>52</v>
      </c>
      <c r="O104" t="s">
        <v>53</v>
      </c>
      <c r="P104" t="s">
        <v>54</v>
      </c>
      <c r="Q104" t="s">
        <v>75</v>
      </c>
      <c r="R104" t="s">
        <v>76</v>
      </c>
      <c r="S104" t="s">
        <v>57</v>
      </c>
      <c r="T104" t="s">
        <v>58</v>
      </c>
      <c r="U104" t="s">
        <v>59</v>
      </c>
      <c r="V104" t="s">
        <v>59</v>
      </c>
      <c r="W104" t="s">
        <v>59</v>
      </c>
      <c r="X104" t="s">
        <v>59</v>
      </c>
      <c r="Y104" t="s">
        <v>59</v>
      </c>
      <c r="Z104" t="s">
        <v>59</v>
      </c>
      <c r="AA104" t="s">
        <v>59</v>
      </c>
      <c r="AB104" t="s">
        <v>59</v>
      </c>
      <c r="AC104" t="s">
        <v>59</v>
      </c>
      <c r="AD104" t="s">
        <v>60</v>
      </c>
      <c r="AE104" t="s">
        <v>61</v>
      </c>
      <c r="AF104" t="s">
        <v>62</v>
      </c>
      <c r="AG104" t="s">
        <v>63</v>
      </c>
      <c r="AH104" t="s">
        <v>63</v>
      </c>
      <c r="AI104" t="s">
        <v>63</v>
      </c>
      <c r="AJ104" t="s">
        <v>65</v>
      </c>
      <c r="AK104" t="s">
        <v>63</v>
      </c>
      <c r="AL104" t="s">
        <v>120</v>
      </c>
      <c r="AM104" t="s">
        <v>67</v>
      </c>
      <c r="AN104" t="s">
        <v>68</v>
      </c>
      <c r="AO104" t="s">
        <v>63</v>
      </c>
      <c r="AP104" t="s">
        <v>69</v>
      </c>
      <c r="AQ104" t="s">
        <v>63</v>
      </c>
      <c r="AR104" s="25">
        <v>8</v>
      </c>
      <c r="AS104" t="s">
        <v>290</v>
      </c>
    </row>
    <row r="105" spans="1:45" x14ac:dyDescent="0.3">
      <c r="A105">
        <v>104</v>
      </c>
      <c r="B105" s="24">
        <v>46218.388379629629</v>
      </c>
      <c r="C105" s="24">
        <v>46218.390879629631</v>
      </c>
      <c r="D105" t="s">
        <v>45</v>
      </c>
      <c r="F105" s="1"/>
      <c r="G105" t="s">
        <v>46</v>
      </c>
      <c r="H105" t="s">
        <v>112</v>
      </c>
      <c r="I105" t="s">
        <v>133</v>
      </c>
      <c r="J105" t="s">
        <v>104</v>
      </c>
      <c r="K105" t="s">
        <v>291</v>
      </c>
      <c r="L105" t="s">
        <v>73</v>
      </c>
      <c r="M105" t="s">
        <v>73</v>
      </c>
      <c r="N105" t="s">
        <v>52</v>
      </c>
      <c r="O105" t="s">
        <v>53</v>
      </c>
      <c r="P105" t="s">
        <v>74</v>
      </c>
      <c r="Q105" t="s">
        <v>75</v>
      </c>
      <c r="R105" t="s">
        <v>76</v>
      </c>
      <c r="S105" t="s">
        <v>77</v>
      </c>
      <c r="T105" t="s">
        <v>58</v>
      </c>
      <c r="U105" t="s">
        <v>59</v>
      </c>
      <c r="V105" t="s">
        <v>59</v>
      </c>
      <c r="W105" t="s">
        <v>59</v>
      </c>
      <c r="X105" t="s">
        <v>59</v>
      </c>
      <c r="Y105" t="s">
        <v>59</v>
      </c>
      <c r="Z105" t="s">
        <v>59</v>
      </c>
      <c r="AA105" t="s">
        <v>59</v>
      </c>
      <c r="AB105" t="s">
        <v>59</v>
      </c>
      <c r="AC105" t="s">
        <v>59</v>
      </c>
      <c r="AD105" t="s">
        <v>80</v>
      </c>
      <c r="AE105" t="s">
        <v>61</v>
      </c>
      <c r="AF105" t="s">
        <v>62</v>
      </c>
      <c r="AG105" t="s">
        <v>63</v>
      </c>
      <c r="AH105" t="s">
        <v>63</v>
      </c>
      <c r="AI105" t="s">
        <v>63</v>
      </c>
      <c r="AJ105" t="s">
        <v>65</v>
      </c>
      <c r="AK105" t="s">
        <v>63</v>
      </c>
      <c r="AL105" t="s">
        <v>120</v>
      </c>
      <c r="AM105" t="s">
        <v>67</v>
      </c>
      <c r="AN105" t="s">
        <v>68</v>
      </c>
      <c r="AO105" t="s">
        <v>63</v>
      </c>
      <c r="AP105" t="s">
        <v>98</v>
      </c>
      <c r="AQ105" t="s">
        <v>63</v>
      </c>
      <c r="AR105" s="25">
        <v>8</v>
      </c>
      <c r="AS105" t="s">
        <v>292</v>
      </c>
    </row>
    <row r="106" spans="1:45" x14ac:dyDescent="0.3">
      <c r="A106">
        <v>105</v>
      </c>
      <c r="B106" s="24">
        <v>46218.387708333335</v>
      </c>
      <c r="C106" s="24">
        <v>46218.391145833331</v>
      </c>
      <c r="D106" t="s">
        <v>45</v>
      </c>
      <c r="F106" s="1"/>
      <c r="G106" t="s">
        <v>100</v>
      </c>
      <c r="H106" t="s">
        <v>91</v>
      </c>
      <c r="I106" t="s">
        <v>101</v>
      </c>
      <c r="J106" t="s">
        <v>162</v>
      </c>
      <c r="K106" t="s">
        <v>118</v>
      </c>
      <c r="L106" t="s">
        <v>73</v>
      </c>
      <c r="M106" t="s">
        <v>73</v>
      </c>
      <c r="N106" t="s">
        <v>52</v>
      </c>
      <c r="O106" t="s">
        <v>53</v>
      </c>
      <c r="P106" t="s">
        <v>74</v>
      </c>
      <c r="Q106" t="s">
        <v>75</v>
      </c>
      <c r="R106" t="s">
        <v>76</v>
      </c>
      <c r="S106" t="s">
        <v>77</v>
      </c>
      <c r="T106" t="s">
        <v>58</v>
      </c>
      <c r="U106" t="s">
        <v>59</v>
      </c>
      <c r="V106" t="s">
        <v>59</v>
      </c>
      <c r="W106" t="s">
        <v>59</v>
      </c>
      <c r="X106" t="s">
        <v>59</v>
      </c>
      <c r="Y106" t="s">
        <v>59</v>
      </c>
      <c r="Z106" t="s">
        <v>59</v>
      </c>
      <c r="AA106" t="s">
        <v>59</v>
      </c>
      <c r="AB106" t="s">
        <v>59</v>
      </c>
      <c r="AC106" t="s">
        <v>59</v>
      </c>
      <c r="AD106" t="s">
        <v>60</v>
      </c>
      <c r="AE106" t="s">
        <v>61</v>
      </c>
      <c r="AF106" t="s">
        <v>119</v>
      </c>
      <c r="AG106" t="s">
        <v>63</v>
      </c>
      <c r="AH106" t="s">
        <v>63</v>
      </c>
      <c r="AI106" t="s">
        <v>63</v>
      </c>
      <c r="AJ106" t="s">
        <v>65</v>
      </c>
      <c r="AK106" t="s">
        <v>63</v>
      </c>
      <c r="AL106" t="s">
        <v>120</v>
      </c>
      <c r="AM106" t="s">
        <v>67</v>
      </c>
      <c r="AN106" t="s">
        <v>89</v>
      </c>
      <c r="AO106" t="s">
        <v>63</v>
      </c>
      <c r="AP106" t="s">
        <v>69</v>
      </c>
      <c r="AQ106" t="s">
        <v>63</v>
      </c>
      <c r="AR106" s="25">
        <v>8</v>
      </c>
      <c r="AS106" t="s">
        <v>293</v>
      </c>
    </row>
    <row r="107" spans="1:45" x14ac:dyDescent="0.3">
      <c r="A107">
        <v>106</v>
      </c>
      <c r="B107" s="24">
        <v>46218.387754629628</v>
      </c>
      <c r="C107" s="24">
        <v>46218.391435185185</v>
      </c>
      <c r="D107" t="s">
        <v>45</v>
      </c>
      <c r="F107" s="1"/>
      <c r="G107" t="s">
        <v>100</v>
      </c>
      <c r="H107" t="s">
        <v>91</v>
      </c>
      <c r="I107" t="s">
        <v>48</v>
      </c>
      <c r="J107" t="s">
        <v>162</v>
      </c>
      <c r="K107" t="s">
        <v>123</v>
      </c>
      <c r="L107" t="s">
        <v>73</v>
      </c>
      <c r="M107" t="s">
        <v>51</v>
      </c>
      <c r="N107" t="s">
        <v>52</v>
      </c>
      <c r="O107" t="s">
        <v>53</v>
      </c>
      <c r="P107" t="s">
        <v>74</v>
      </c>
      <c r="Q107" t="s">
        <v>75</v>
      </c>
      <c r="R107" t="s">
        <v>76</v>
      </c>
      <c r="S107" t="s">
        <v>77</v>
      </c>
      <c r="T107" t="s">
        <v>58</v>
      </c>
      <c r="U107" t="s">
        <v>59</v>
      </c>
      <c r="V107" t="s">
        <v>59</v>
      </c>
      <c r="W107" t="s">
        <v>59</v>
      </c>
      <c r="X107" t="s">
        <v>59</v>
      </c>
      <c r="Y107" t="s">
        <v>59</v>
      </c>
      <c r="Z107" t="s">
        <v>59</v>
      </c>
      <c r="AA107" t="s">
        <v>59</v>
      </c>
      <c r="AB107" t="s">
        <v>59</v>
      </c>
      <c r="AC107" t="s">
        <v>59</v>
      </c>
      <c r="AD107" t="s">
        <v>60</v>
      </c>
      <c r="AE107" t="s">
        <v>61</v>
      </c>
      <c r="AF107" t="s">
        <v>62</v>
      </c>
      <c r="AG107" t="s">
        <v>63</v>
      </c>
      <c r="AH107" t="s">
        <v>63</v>
      </c>
      <c r="AI107" t="s">
        <v>63</v>
      </c>
      <c r="AJ107" t="s">
        <v>82</v>
      </c>
      <c r="AK107" t="s">
        <v>63</v>
      </c>
      <c r="AL107" t="s">
        <v>102</v>
      </c>
      <c r="AM107" t="s">
        <v>67</v>
      </c>
      <c r="AN107" t="s">
        <v>68</v>
      </c>
      <c r="AO107" t="s">
        <v>64</v>
      </c>
      <c r="AP107" t="s">
        <v>69</v>
      </c>
      <c r="AQ107" t="s">
        <v>63</v>
      </c>
      <c r="AR107" s="25">
        <v>9</v>
      </c>
      <c r="AS107" t="s">
        <v>294</v>
      </c>
    </row>
    <row r="108" spans="1:45" x14ac:dyDescent="0.3">
      <c r="A108">
        <v>107</v>
      </c>
      <c r="B108" s="24">
        <v>46218.38753472222</v>
      </c>
      <c r="C108" s="24">
        <v>46218.391504629632</v>
      </c>
      <c r="D108" t="s">
        <v>45</v>
      </c>
      <c r="F108" s="1"/>
      <c r="G108" t="s">
        <v>46</v>
      </c>
      <c r="H108" t="s">
        <v>47</v>
      </c>
      <c r="I108" t="s">
        <v>101</v>
      </c>
      <c r="J108" t="s">
        <v>162</v>
      </c>
      <c r="K108" t="s">
        <v>295</v>
      </c>
      <c r="L108" t="s">
        <v>51</v>
      </c>
      <c r="M108" t="s">
        <v>51</v>
      </c>
      <c r="N108" t="s">
        <v>52</v>
      </c>
      <c r="O108" t="s">
        <v>53</v>
      </c>
      <c r="P108" t="s">
        <v>74</v>
      </c>
      <c r="Q108" t="s">
        <v>55</v>
      </c>
      <c r="R108" t="s">
        <v>76</v>
      </c>
      <c r="S108" t="s">
        <v>77</v>
      </c>
      <c r="T108" t="s">
        <v>58</v>
      </c>
      <c r="U108" t="s">
        <v>79</v>
      </c>
      <c r="V108" t="s">
        <v>59</v>
      </c>
      <c r="W108" t="s">
        <v>59</v>
      </c>
      <c r="X108" t="s">
        <v>59</v>
      </c>
      <c r="Y108" t="s">
        <v>79</v>
      </c>
      <c r="Z108" t="s">
        <v>79</v>
      </c>
      <c r="AA108" t="s">
        <v>59</v>
      </c>
      <c r="AB108" t="s">
        <v>79</v>
      </c>
      <c r="AC108" t="s">
        <v>79</v>
      </c>
      <c r="AD108" t="s">
        <v>60</v>
      </c>
      <c r="AE108" t="s">
        <v>61</v>
      </c>
      <c r="AF108" t="s">
        <v>62</v>
      </c>
      <c r="AG108" t="s">
        <v>63</v>
      </c>
      <c r="AH108" t="s">
        <v>63</v>
      </c>
      <c r="AI108" t="s">
        <v>63</v>
      </c>
      <c r="AJ108" t="s">
        <v>65</v>
      </c>
      <c r="AK108" t="s">
        <v>63</v>
      </c>
      <c r="AL108" t="s">
        <v>120</v>
      </c>
      <c r="AM108" t="s">
        <v>121</v>
      </c>
      <c r="AN108" t="s">
        <v>89</v>
      </c>
      <c r="AO108" t="s">
        <v>64</v>
      </c>
      <c r="AP108" t="s">
        <v>69</v>
      </c>
      <c r="AQ108" t="s">
        <v>63</v>
      </c>
      <c r="AR108" s="25">
        <v>9</v>
      </c>
      <c r="AS108" t="s">
        <v>296</v>
      </c>
    </row>
    <row r="109" spans="1:45" x14ac:dyDescent="0.3">
      <c r="A109">
        <v>108</v>
      </c>
      <c r="B109" s="24">
        <v>46218.390208333331</v>
      </c>
      <c r="C109" s="24">
        <v>46218.392083333332</v>
      </c>
      <c r="D109" t="s">
        <v>45</v>
      </c>
      <c r="F109" s="1"/>
      <c r="G109" t="s">
        <v>100</v>
      </c>
      <c r="H109" t="s">
        <v>47</v>
      </c>
      <c r="I109" t="s">
        <v>101</v>
      </c>
      <c r="J109" t="s">
        <v>71</v>
      </c>
      <c r="K109" t="s">
        <v>289</v>
      </c>
      <c r="L109" t="s">
        <v>51</v>
      </c>
      <c r="M109" t="s">
        <v>51</v>
      </c>
      <c r="N109" t="s">
        <v>116</v>
      </c>
      <c r="O109" t="s">
        <v>53</v>
      </c>
      <c r="P109" t="s">
        <v>54</v>
      </c>
      <c r="Q109" t="s">
        <v>55</v>
      </c>
      <c r="R109" t="s">
        <v>76</v>
      </c>
      <c r="S109" t="s">
        <v>57</v>
      </c>
      <c r="T109" t="s">
        <v>58</v>
      </c>
      <c r="U109" t="s">
        <v>59</v>
      </c>
      <c r="V109" t="s">
        <v>59</v>
      </c>
      <c r="W109" t="s">
        <v>59</v>
      </c>
      <c r="X109" t="s">
        <v>59</v>
      </c>
      <c r="Y109" t="s">
        <v>59</v>
      </c>
      <c r="Z109" t="s">
        <v>59</v>
      </c>
      <c r="AA109" t="s">
        <v>59</v>
      </c>
      <c r="AB109" t="s">
        <v>59</v>
      </c>
      <c r="AC109" t="s">
        <v>59</v>
      </c>
      <c r="AD109" t="s">
        <v>60</v>
      </c>
      <c r="AE109" t="s">
        <v>61</v>
      </c>
      <c r="AF109" t="s">
        <v>62</v>
      </c>
      <c r="AG109" t="s">
        <v>63</v>
      </c>
      <c r="AH109" t="s">
        <v>63</v>
      </c>
      <c r="AI109" t="s">
        <v>63</v>
      </c>
      <c r="AJ109" t="s">
        <v>65</v>
      </c>
      <c r="AK109" t="s">
        <v>63</v>
      </c>
      <c r="AL109" t="s">
        <v>120</v>
      </c>
      <c r="AM109" t="s">
        <v>67</v>
      </c>
      <c r="AN109" t="s">
        <v>68</v>
      </c>
      <c r="AO109" t="s">
        <v>63</v>
      </c>
      <c r="AP109" t="s">
        <v>69</v>
      </c>
      <c r="AQ109" t="s">
        <v>64</v>
      </c>
      <c r="AR109" s="25">
        <v>9</v>
      </c>
      <c r="AS109" t="s">
        <v>297</v>
      </c>
    </row>
    <row r="110" spans="1:45" x14ac:dyDescent="0.3">
      <c r="A110">
        <v>109</v>
      </c>
      <c r="B110" s="24">
        <v>46218.389351851853</v>
      </c>
      <c r="C110" s="24">
        <v>46218.393587962964</v>
      </c>
      <c r="D110" t="s">
        <v>45</v>
      </c>
      <c r="F110" s="1"/>
      <c r="G110" t="s">
        <v>100</v>
      </c>
      <c r="H110" t="s">
        <v>47</v>
      </c>
      <c r="I110" t="s">
        <v>101</v>
      </c>
      <c r="J110" t="s">
        <v>162</v>
      </c>
      <c r="K110" t="s">
        <v>298</v>
      </c>
      <c r="L110" t="s">
        <v>51</v>
      </c>
      <c r="M110" t="s">
        <v>73</v>
      </c>
      <c r="N110" t="s">
        <v>52</v>
      </c>
      <c r="O110" t="s">
        <v>53</v>
      </c>
      <c r="P110" t="s">
        <v>74</v>
      </c>
      <c r="Q110" t="s">
        <v>75</v>
      </c>
      <c r="R110" t="s">
        <v>76</v>
      </c>
      <c r="S110" t="s">
        <v>77</v>
      </c>
      <c r="T110" t="s">
        <v>58</v>
      </c>
      <c r="U110" t="s">
        <v>87</v>
      </c>
      <c r="V110" t="s">
        <v>59</v>
      </c>
      <c r="W110" t="s">
        <v>59</v>
      </c>
      <c r="X110" t="s">
        <v>59</v>
      </c>
      <c r="Y110" t="s">
        <v>79</v>
      </c>
      <c r="Z110" t="s">
        <v>79</v>
      </c>
      <c r="AA110" t="s">
        <v>59</v>
      </c>
      <c r="AB110" t="s">
        <v>79</v>
      </c>
      <c r="AC110" t="s">
        <v>59</v>
      </c>
      <c r="AD110" t="s">
        <v>80</v>
      </c>
      <c r="AE110" t="s">
        <v>61</v>
      </c>
      <c r="AF110" t="s">
        <v>119</v>
      </c>
      <c r="AG110" t="s">
        <v>64</v>
      </c>
      <c r="AH110" t="s">
        <v>63</v>
      </c>
      <c r="AI110" t="s">
        <v>64</v>
      </c>
      <c r="AJ110" t="s">
        <v>82</v>
      </c>
      <c r="AK110" t="s">
        <v>63</v>
      </c>
      <c r="AL110" t="s">
        <v>66</v>
      </c>
      <c r="AM110" t="s">
        <v>67</v>
      </c>
      <c r="AN110" t="s">
        <v>89</v>
      </c>
      <c r="AO110" t="s">
        <v>64</v>
      </c>
      <c r="AP110" t="s">
        <v>107</v>
      </c>
      <c r="AQ110" t="s">
        <v>63</v>
      </c>
      <c r="AR110" s="25">
        <v>7</v>
      </c>
      <c r="AS110" t="s">
        <v>299</v>
      </c>
    </row>
    <row r="111" spans="1:45" x14ac:dyDescent="0.3">
      <c r="A111">
        <v>110</v>
      </c>
      <c r="B111" s="24">
        <v>46218.389861111114</v>
      </c>
      <c r="C111" s="24">
        <v>46218.393761574072</v>
      </c>
      <c r="D111" t="s">
        <v>45</v>
      </c>
      <c r="F111" s="1"/>
      <c r="G111" t="s">
        <v>100</v>
      </c>
      <c r="H111" t="s">
        <v>47</v>
      </c>
      <c r="I111" t="s">
        <v>101</v>
      </c>
      <c r="J111" t="s">
        <v>49</v>
      </c>
      <c r="K111" t="s">
        <v>217</v>
      </c>
      <c r="L111" t="s">
        <v>73</v>
      </c>
      <c r="M111" t="s">
        <v>73</v>
      </c>
      <c r="N111" t="s">
        <v>52</v>
      </c>
      <c r="O111" t="s">
        <v>53</v>
      </c>
      <c r="P111" t="s">
        <v>74</v>
      </c>
      <c r="Q111" t="s">
        <v>75</v>
      </c>
      <c r="R111" t="s">
        <v>76</v>
      </c>
      <c r="S111" t="s">
        <v>77</v>
      </c>
      <c r="T111" t="s">
        <v>58</v>
      </c>
      <c r="U111" t="s">
        <v>79</v>
      </c>
      <c r="V111" t="s">
        <v>59</v>
      </c>
      <c r="W111" t="s">
        <v>59</v>
      </c>
      <c r="X111" t="s">
        <v>59</v>
      </c>
      <c r="Y111" t="s">
        <v>59</v>
      </c>
      <c r="Z111" t="s">
        <v>59</v>
      </c>
      <c r="AA111" t="s">
        <v>59</v>
      </c>
      <c r="AB111" t="s">
        <v>59</v>
      </c>
      <c r="AC111" t="s">
        <v>59</v>
      </c>
      <c r="AD111" t="s">
        <v>80</v>
      </c>
      <c r="AE111" t="s">
        <v>61</v>
      </c>
      <c r="AF111" t="s">
        <v>62</v>
      </c>
      <c r="AG111" t="s">
        <v>63</v>
      </c>
      <c r="AH111" t="s">
        <v>63</v>
      </c>
      <c r="AI111" t="s">
        <v>63</v>
      </c>
      <c r="AJ111" t="s">
        <v>82</v>
      </c>
      <c r="AK111" t="s">
        <v>63</v>
      </c>
      <c r="AL111" t="s">
        <v>66</v>
      </c>
      <c r="AM111" t="s">
        <v>137</v>
      </c>
      <c r="AN111" t="s">
        <v>89</v>
      </c>
      <c r="AO111" t="s">
        <v>63</v>
      </c>
      <c r="AP111" t="s">
        <v>98</v>
      </c>
      <c r="AQ111" t="s">
        <v>63</v>
      </c>
      <c r="AR111" s="25">
        <v>8</v>
      </c>
      <c r="AS111" t="s">
        <v>300</v>
      </c>
    </row>
    <row r="112" spans="1:45" x14ac:dyDescent="0.3">
      <c r="A112">
        <v>111</v>
      </c>
      <c r="B112" s="24">
        <v>46218.391377314816</v>
      </c>
      <c r="C112" s="24">
        <v>46218.393877314818</v>
      </c>
      <c r="D112" t="s">
        <v>45</v>
      </c>
      <c r="F112" s="1"/>
      <c r="G112" t="s">
        <v>46</v>
      </c>
      <c r="H112" t="s">
        <v>112</v>
      </c>
      <c r="I112" t="s">
        <v>133</v>
      </c>
      <c r="J112" t="s">
        <v>104</v>
      </c>
      <c r="K112" t="s">
        <v>149</v>
      </c>
      <c r="L112" t="s">
        <v>73</v>
      </c>
      <c r="M112" t="s">
        <v>73</v>
      </c>
      <c r="N112" t="s">
        <v>52</v>
      </c>
      <c r="O112" t="s">
        <v>53</v>
      </c>
      <c r="P112" t="s">
        <v>74</v>
      </c>
      <c r="Q112" t="s">
        <v>75</v>
      </c>
      <c r="R112" t="s">
        <v>76</v>
      </c>
      <c r="S112" t="s">
        <v>77</v>
      </c>
      <c r="T112" t="s">
        <v>58</v>
      </c>
      <c r="U112" t="s">
        <v>59</v>
      </c>
      <c r="V112" t="s">
        <v>59</v>
      </c>
      <c r="W112" t="s">
        <v>59</v>
      </c>
      <c r="X112" t="s">
        <v>59</v>
      </c>
      <c r="Y112" t="s">
        <v>59</v>
      </c>
      <c r="Z112" t="s">
        <v>59</v>
      </c>
      <c r="AA112" t="s">
        <v>59</v>
      </c>
      <c r="AB112" t="s">
        <v>59</v>
      </c>
      <c r="AC112" t="s">
        <v>59</v>
      </c>
      <c r="AD112" t="s">
        <v>60</v>
      </c>
      <c r="AE112" t="s">
        <v>61</v>
      </c>
      <c r="AF112" t="s">
        <v>119</v>
      </c>
      <c r="AG112" t="s">
        <v>63</v>
      </c>
      <c r="AH112" t="s">
        <v>63</v>
      </c>
      <c r="AI112" t="s">
        <v>63</v>
      </c>
      <c r="AJ112" t="s">
        <v>82</v>
      </c>
      <c r="AK112" t="s">
        <v>63</v>
      </c>
      <c r="AL112" t="s">
        <v>120</v>
      </c>
      <c r="AM112" t="s">
        <v>67</v>
      </c>
      <c r="AN112" t="s">
        <v>89</v>
      </c>
      <c r="AO112" t="s">
        <v>63</v>
      </c>
      <c r="AP112" t="s">
        <v>69</v>
      </c>
      <c r="AQ112" t="s">
        <v>63</v>
      </c>
      <c r="AR112" s="25">
        <v>8</v>
      </c>
      <c r="AS112" t="s">
        <v>301</v>
      </c>
    </row>
    <row r="113" spans="1:45" x14ac:dyDescent="0.3">
      <c r="A113">
        <v>112</v>
      </c>
      <c r="B113" s="24">
        <v>46218.392199074071</v>
      </c>
      <c r="C113" s="24">
        <v>46218.393946759257</v>
      </c>
      <c r="D113" t="s">
        <v>45</v>
      </c>
      <c r="F113" s="1"/>
      <c r="G113" t="s">
        <v>46</v>
      </c>
      <c r="H113" t="s">
        <v>91</v>
      </c>
      <c r="I113" t="s">
        <v>48</v>
      </c>
      <c r="J113" t="s">
        <v>71</v>
      </c>
      <c r="K113" t="s">
        <v>189</v>
      </c>
      <c r="L113" t="s">
        <v>73</v>
      </c>
      <c r="M113" t="s">
        <v>73</v>
      </c>
      <c r="N113" t="s">
        <v>116</v>
      </c>
      <c r="O113" t="s">
        <v>53</v>
      </c>
      <c r="P113" t="s">
        <v>54</v>
      </c>
      <c r="Q113" t="s">
        <v>75</v>
      </c>
      <c r="R113" t="s">
        <v>76</v>
      </c>
      <c r="S113" t="s">
        <v>57</v>
      </c>
      <c r="T113" t="s">
        <v>58</v>
      </c>
      <c r="U113" t="s">
        <v>59</v>
      </c>
      <c r="V113" t="s">
        <v>59</v>
      </c>
      <c r="W113" t="s">
        <v>59</v>
      </c>
      <c r="X113" t="s">
        <v>59</v>
      </c>
      <c r="Y113" t="s">
        <v>59</v>
      </c>
      <c r="Z113" t="s">
        <v>59</v>
      </c>
      <c r="AA113" t="s">
        <v>59</v>
      </c>
      <c r="AB113" t="s">
        <v>59</v>
      </c>
      <c r="AC113" t="s">
        <v>59</v>
      </c>
      <c r="AD113" t="s">
        <v>60</v>
      </c>
      <c r="AE113" t="s">
        <v>61</v>
      </c>
      <c r="AF113" t="s">
        <v>62</v>
      </c>
      <c r="AG113" t="s">
        <v>63</v>
      </c>
      <c r="AH113" t="s">
        <v>63</v>
      </c>
      <c r="AI113" t="s">
        <v>63</v>
      </c>
      <c r="AJ113" t="s">
        <v>65</v>
      </c>
      <c r="AK113" t="s">
        <v>63</v>
      </c>
      <c r="AL113" t="s">
        <v>102</v>
      </c>
      <c r="AM113" t="s">
        <v>67</v>
      </c>
      <c r="AN113" t="s">
        <v>68</v>
      </c>
      <c r="AO113" t="s">
        <v>63</v>
      </c>
      <c r="AP113" t="s">
        <v>69</v>
      </c>
      <c r="AQ113" t="s">
        <v>63</v>
      </c>
      <c r="AR113" s="25">
        <v>9</v>
      </c>
      <c r="AS113" t="s">
        <v>302</v>
      </c>
    </row>
    <row r="114" spans="1:45" x14ac:dyDescent="0.3">
      <c r="A114">
        <v>113</v>
      </c>
      <c r="B114" s="24">
        <v>46218.39162037037</v>
      </c>
      <c r="C114" s="24">
        <v>46218.395497685182</v>
      </c>
      <c r="D114" t="s">
        <v>45</v>
      </c>
      <c r="F114" s="1"/>
      <c r="G114" t="s">
        <v>46</v>
      </c>
      <c r="H114" t="s">
        <v>112</v>
      </c>
      <c r="I114" t="s">
        <v>101</v>
      </c>
      <c r="J114" t="s">
        <v>104</v>
      </c>
      <c r="K114" t="s">
        <v>303</v>
      </c>
      <c r="L114" t="s">
        <v>73</v>
      </c>
      <c r="M114" t="s">
        <v>73</v>
      </c>
      <c r="N114" t="s">
        <v>52</v>
      </c>
      <c r="O114" t="s">
        <v>228</v>
      </c>
      <c r="P114" t="s">
        <v>74</v>
      </c>
      <c r="Q114" t="s">
        <v>75</v>
      </c>
      <c r="R114" t="s">
        <v>76</v>
      </c>
      <c r="S114" t="s">
        <v>57</v>
      </c>
      <c r="T114" t="s">
        <v>58</v>
      </c>
      <c r="U114" t="s">
        <v>59</v>
      </c>
      <c r="V114" t="s">
        <v>79</v>
      </c>
      <c r="W114" t="s">
        <v>79</v>
      </c>
      <c r="X114" t="s">
        <v>59</v>
      </c>
      <c r="Y114" t="s">
        <v>59</v>
      </c>
      <c r="Z114" t="s">
        <v>59</v>
      </c>
      <c r="AA114" t="s">
        <v>59</v>
      </c>
      <c r="AB114" t="s">
        <v>59</v>
      </c>
      <c r="AC114" t="s">
        <v>59</v>
      </c>
      <c r="AD114" t="s">
        <v>60</v>
      </c>
      <c r="AE114" t="s">
        <v>61</v>
      </c>
      <c r="AF114" t="s">
        <v>62</v>
      </c>
      <c r="AG114" t="s">
        <v>63</v>
      </c>
      <c r="AH114" t="s">
        <v>63</v>
      </c>
      <c r="AI114" t="s">
        <v>63</v>
      </c>
      <c r="AJ114" t="s">
        <v>65</v>
      </c>
      <c r="AK114" t="s">
        <v>63</v>
      </c>
      <c r="AL114" t="s">
        <v>66</v>
      </c>
      <c r="AM114" t="s">
        <v>67</v>
      </c>
      <c r="AN114" t="s">
        <v>89</v>
      </c>
      <c r="AO114" t="s">
        <v>63</v>
      </c>
      <c r="AP114" t="s">
        <v>69</v>
      </c>
      <c r="AQ114" t="s">
        <v>63</v>
      </c>
      <c r="AR114" s="25">
        <v>8</v>
      </c>
      <c r="AS114" t="s">
        <v>304</v>
      </c>
    </row>
    <row r="115" spans="1:45" x14ac:dyDescent="0.3">
      <c r="A115">
        <v>114</v>
      </c>
      <c r="B115" s="24">
        <v>46218.393819444442</v>
      </c>
      <c r="C115" s="24">
        <v>46218.395555555559</v>
      </c>
      <c r="D115" t="s">
        <v>45</v>
      </c>
      <c r="F115" s="1"/>
      <c r="G115" t="s">
        <v>46</v>
      </c>
      <c r="H115" t="s">
        <v>91</v>
      </c>
      <c r="I115" t="s">
        <v>101</v>
      </c>
      <c r="J115" t="s">
        <v>49</v>
      </c>
      <c r="K115" t="s">
        <v>305</v>
      </c>
      <c r="L115" t="s">
        <v>73</v>
      </c>
      <c r="M115" t="s">
        <v>146</v>
      </c>
      <c r="N115" t="s">
        <v>52</v>
      </c>
      <c r="O115" t="s">
        <v>53</v>
      </c>
      <c r="P115" t="s">
        <v>74</v>
      </c>
      <c r="Q115" t="s">
        <v>75</v>
      </c>
      <c r="R115" t="s">
        <v>76</v>
      </c>
      <c r="S115" t="s">
        <v>77</v>
      </c>
      <c r="T115" t="s">
        <v>58</v>
      </c>
      <c r="U115" t="s">
        <v>79</v>
      </c>
      <c r="V115" t="s">
        <v>59</v>
      </c>
      <c r="W115" t="s">
        <v>59</v>
      </c>
      <c r="X115" t="s">
        <v>59</v>
      </c>
      <c r="Y115" t="s">
        <v>59</v>
      </c>
      <c r="Z115" t="s">
        <v>59</v>
      </c>
      <c r="AA115" t="s">
        <v>59</v>
      </c>
      <c r="AB115" t="s">
        <v>79</v>
      </c>
      <c r="AC115" t="s">
        <v>59</v>
      </c>
      <c r="AD115" t="s">
        <v>60</v>
      </c>
      <c r="AE115" t="s">
        <v>94</v>
      </c>
      <c r="AF115" t="s">
        <v>119</v>
      </c>
      <c r="AG115" t="s">
        <v>64</v>
      </c>
      <c r="AH115" t="s">
        <v>64</v>
      </c>
      <c r="AI115" t="s">
        <v>63</v>
      </c>
      <c r="AJ115" t="s">
        <v>65</v>
      </c>
      <c r="AK115" t="s">
        <v>64</v>
      </c>
      <c r="AL115" t="s">
        <v>66</v>
      </c>
      <c r="AM115" t="s">
        <v>67</v>
      </c>
      <c r="AN115" t="s">
        <v>89</v>
      </c>
      <c r="AO115" t="s">
        <v>63</v>
      </c>
      <c r="AP115" t="s">
        <v>107</v>
      </c>
      <c r="AQ115" t="s">
        <v>64</v>
      </c>
      <c r="AR115" s="25">
        <v>9</v>
      </c>
      <c r="AS115" t="s">
        <v>306</v>
      </c>
    </row>
    <row r="116" spans="1:45" x14ac:dyDescent="0.3">
      <c r="A116">
        <v>115</v>
      </c>
      <c r="B116" s="24">
        <v>46218.391747685186</v>
      </c>
      <c r="C116" s="24">
        <v>46218.395810185182</v>
      </c>
      <c r="D116" t="s">
        <v>45</v>
      </c>
      <c r="F116" s="1"/>
      <c r="G116" t="s">
        <v>46</v>
      </c>
      <c r="H116" t="s">
        <v>91</v>
      </c>
      <c r="I116" t="s">
        <v>48</v>
      </c>
      <c r="J116" t="s">
        <v>71</v>
      </c>
      <c r="K116" t="s">
        <v>284</v>
      </c>
      <c r="L116" t="s">
        <v>73</v>
      </c>
      <c r="M116" t="s">
        <v>73</v>
      </c>
      <c r="N116" t="s">
        <v>52</v>
      </c>
      <c r="O116" t="s">
        <v>53</v>
      </c>
      <c r="P116" t="s">
        <v>74</v>
      </c>
      <c r="Q116" t="s">
        <v>55</v>
      </c>
      <c r="R116" t="s">
        <v>56</v>
      </c>
      <c r="S116" t="s">
        <v>77</v>
      </c>
      <c r="T116" t="s">
        <v>58</v>
      </c>
      <c r="U116" t="s">
        <v>79</v>
      </c>
      <c r="V116" t="s">
        <v>79</v>
      </c>
      <c r="W116" t="s">
        <v>59</v>
      </c>
      <c r="X116" t="s">
        <v>59</v>
      </c>
      <c r="Y116" t="s">
        <v>59</v>
      </c>
      <c r="Z116" t="s">
        <v>79</v>
      </c>
      <c r="AA116" t="s">
        <v>59</v>
      </c>
      <c r="AB116" t="s">
        <v>79</v>
      </c>
      <c r="AC116" t="s">
        <v>79</v>
      </c>
      <c r="AD116" t="s">
        <v>60</v>
      </c>
      <c r="AE116" t="s">
        <v>61</v>
      </c>
      <c r="AF116" t="s">
        <v>62</v>
      </c>
      <c r="AG116" t="s">
        <v>63</v>
      </c>
      <c r="AH116" t="s">
        <v>63</v>
      </c>
      <c r="AI116" t="s">
        <v>63</v>
      </c>
      <c r="AJ116" t="s">
        <v>82</v>
      </c>
      <c r="AK116" t="s">
        <v>63</v>
      </c>
      <c r="AL116" t="s">
        <v>120</v>
      </c>
      <c r="AM116" t="s">
        <v>67</v>
      </c>
      <c r="AN116" t="s">
        <v>68</v>
      </c>
      <c r="AO116" t="s">
        <v>63</v>
      </c>
      <c r="AP116" t="s">
        <v>98</v>
      </c>
      <c r="AQ116" t="s">
        <v>63</v>
      </c>
      <c r="AR116" s="25">
        <v>8</v>
      </c>
      <c r="AS116" t="s">
        <v>307</v>
      </c>
    </row>
    <row r="117" spans="1:45" x14ac:dyDescent="0.3">
      <c r="A117">
        <v>116</v>
      </c>
      <c r="B117" s="24">
        <v>46218.391979166663</v>
      </c>
      <c r="C117" s="24">
        <v>46218.395868055559</v>
      </c>
      <c r="D117" t="s">
        <v>45</v>
      </c>
      <c r="F117" s="1"/>
      <c r="G117" t="s">
        <v>46</v>
      </c>
      <c r="H117" t="s">
        <v>47</v>
      </c>
      <c r="I117" t="s">
        <v>48</v>
      </c>
      <c r="J117" t="s">
        <v>104</v>
      </c>
      <c r="K117" t="s">
        <v>217</v>
      </c>
      <c r="L117" t="s">
        <v>73</v>
      </c>
      <c r="M117" t="s">
        <v>73</v>
      </c>
      <c r="N117" t="s">
        <v>52</v>
      </c>
      <c r="O117" t="s">
        <v>53</v>
      </c>
      <c r="P117" t="s">
        <v>54</v>
      </c>
      <c r="Q117" t="s">
        <v>75</v>
      </c>
      <c r="R117" t="s">
        <v>76</v>
      </c>
      <c r="S117" t="s">
        <v>106</v>
      </c>
      <c r="T117" t="s">
        <v>78</v>
      </c>
      <c r="U117" t="s">
        <v>87</v>
      </c>
      <c r="V117" t="s">
        <v>87</v>
      </c>
      <c r="W117" t="s">
        <v>87</v>
      </c>
      <c r="X117" t="s">
        <v>87</v>
      </c>
      <c r="Y117" t="s">
        <v>87</v>
      </c>
      <c r="Z117" t="s">
        <v>87</v>
      </c>
      <c r="AA117" t="s">
        <v>87</v>
      </c>
      <c r="AB117" t="s">
        <v>87</v>
      </c>
      <c r="AC117" t="s">
        <v>79</v>
      </c>
      <c r="AD117" t="s">
        <v>60</v>
      </c>
      <c r="AE117" t="s">
        <v>61</v>
      </c>
      <c r="AF117" t="s">
        <v>147</v>
      </c>
      <c r="AG117" t="s">
        <v>81</v>
      </c>
      <c r="AH117" t="s">
        <v>63</v>
      </c>
      <c r="AI117" t="s">
        <v>63</v>
      </c>
      <c r="AJ117" t="s">
        <v>82</v>
      </c>
      <c r="AK117" t="s">
        <v>63</v>
      </c>
      <c r="AL117" t="s">
        <v>120</v>
      </c>
      <c r="AM117" t="s">
        <v>137</v>
      </c>
      <c r="AN117" t="s">
        <v>68</v>
      </c>
      <c r="AO117" t="s">
        <v>63</v>
      </c>
      <c r="AP117" t="s">
        <v>107</v>
      </c>
      <c r="AQ117" t="s">
        <v>63</v>
      </c>
      <c r="AR117" s="25">
        <v>8</v>
      </c>
      <c r="AS117" t="s">
        <v>308</v>
      </c>
    </row>
    <row r="118" spans="1:45" x14ac:dyDescent="0.3">
      <c r="A118">
        <v>117</v>
      </c>
      <c r="B118" s="24">
        <v>46218.39403935185</v>
      </c>
      <c r="C118" s="24">
        <v>46218.396111111113</v>
      </c>
      <c r="D118" t="s">
        <v>45</v>
      </c>
      <c r="F118" s="1"/>
      <c r="G118" t="s">
        <v>46</v>
      </c>
      <c r="H118" t="s">
        <v>91</v>
      </c>
      <c r="I118" t="s">
        <v>48</v>
      </c>
      <c r="J118" t="s">
        <v>49</v>
      </c>
      <c r="K118" t="s">
        <v>109</v>
      </c>
      <c r="L118" t="s">
        <v>73</v>
      </c>
      <c r="M118" t="s">
        <v>73</v>
      </c>
      <c r="N118" t="s">
        <v>52</v>
      </c>
      <c r="O118" t="s">
        <v>53</v>
      </c>
      <c r="P118" t="s">
        <v>54</v>
      </c>
      <c r="Q118" t="s">
        <v>55</v>
      </c>
      <c r="R118" t="s">
        <v>56</v>
      </c>
      <c r="S118" t="s">
        <v>57</v>
      </c>
      <c r="T118" t="s">
        <v>93</v>
      </c>
      <c r="U118" t="s">
        <v>59</v>
      </c>
      <c r="V118" t="s">
        <v>59</v>
      </c>
      <c r="W118" t="s">
        <v>59</v>
      </c>
      <c r="X118" t="s">
        <v>59</v>
      </c>
      <c r="Y118" t="s">
        <v>59</v>
      </c>
      <c r="Z118" t="s">
        <v>59</v>
      </c>
      <c r="AA118" t="s">
        <v>59</v>
      </c>
      <c r="AB118" t="s">
        <v>59</v>
      </c>
      <c r="AC118" t="s">
        <v>59</v>
      </c>
      <c r="AD118" t="s">
        <v>60</v>
      </c>
      <c r="AE118" t="s">
        <v>61</v>
      </c>
      <c r="AF118" t="s">
        <v>62</v>
      </c>
      <c r="AG118" t="s">
        <v>63</v>
      </c>
      <c r="AH118" t="s">
        <v>63</v>
      </c>
      <c r="AI118" t="s">
        <v>63</v>
      </c>
      <c r="AJ118" t="s">
        <v>82</v>
      </c>
      <c r="AK118" t="s">
        <v>63</v>
      </c>
      <c r="AL118" t="s">
        <v>66</v>
      </c>
      <c r="AM118" t="s">
        <v>67</v>
      </c>
      <c r="AN118" t="s">
        <v>175</v>
      </c>
      <c r="AO118" t="s">
        <v>63</v>
      </c>
      <c r="AP118" t="s">
        <v>69</v>
      </c>
      <c r="AQ118" t="s">
        <v>63</v>
      </c>
      <c r="AR118" s="25">
        <v>9</v>
      </c>
      <c r="AS118" t="s">
        <v>309</v>
      </c>
    </row>
    <row r="119" spans="1:45" x14ac:dyDescent="0.3">
      <c r="A119">
        <v>118</v>
      </c>
      <c r="B119" s="24">
        <v>46218.394513888888</v>
      </c>
      <c r="C119" s="24">
        <v>46218.396481481483</v>
      </c>
      <c r="D119" t="s">
        <v>45</v>
      </c>
      <c r="F119" s="1"/>
      <c r="G119" t="s">
        <v>100</v>
      </c>
      <c r="H119" t="s">
        <v>47</v>
      </c>
      <c r="I119" t="s">
        <v>48</v>
      </c>
      <c r="J119" t="s">
        <v>162</v>
      </c>
      <c r="K119" t="s">
        <v>240</v>
      </c>
      <c r="L119" t="s">
        <v>73</v>
      </c>
      <c r="M119" t="s">
        <v>51</v>
      </c>
      <c r="N119" t="s">
        <v>52</v>
      </c>
      <c r="O119" t="s">
        <v>53</v>
      </c>
      <c r="P119" t="s">
        <v>74</v>
      </c>
      <c r="Q119" t="s">
        <v>75</v>
      </c>
      <c r="R119" t="s">
        <v>76</v>
      </c>
      <c r="S119" t="s">
        <v>77</v>
      </c>
      <c r="T119" t="s">
        <v>58</v>
      </c>
      <c r="U119" t="s">
        <v>59</v>
      </c>
      <c r="V119" t="s">
        <v>59</v>
      </c>
      <c r="W119" t="s">
        <v>59</v>
      </c>
      <c r="X119" t="s">
        <v>59</v>
      </c>
      <c r="Y119" t="s">
        <v>59</v>
      </c>
      <c r="Z119" t="s">
        <v>59</v>
      </c>
      <c r="AA119" t="s">
        <v>59</v>
      </c>
      <c r="AB119" t="s">
        <v>59</v>
      </c>
      <c r="AC119" t="s">
        <v>59</v>
      </c>
      <c r="AD119" t="s">
        <v>60</v>
      </c>
      <c r="AE119" t="s">
        <v>61</v>
      </c>
      <c r="AF119" t="s">
        <v>62</v>
      </c>
      <c r="AG119" t="s">
        <v>63</v>
      </c>
      <c r="AH119" t="s">
        <v>63</v>
      </c>
      <c r="AI119" t="s">
        <v>63</v>
      </c>
      <c r="AJ119" t="s">
        <v>65</v>
      </c>
      <c r="AK119" t="s">
        <v>63</v>
      </c>
      <c r="AL119" t="s">
        <v>120</v>
      </c>
      <c r="AM119" t="s">
        <v>67</v>
      </c>
      <c r="AN119" t="s">
        <v>68</v>
      </c>
      <c r="AO119" t="s">
        <v>63</v>
      </c>
      <c r="AP119" t="s">
        <v>69</v>
      </c>
      <c r="AQ119" t="s">
        <v>63</v>
      </c>
      <c r="AR119" s="25">
        <v>9</v>
      </c>
      <c r="AS119" t="s">
        <v>310</v>
      </c>
    </row>
    <row r="120" spans="1:45" x14ac:dyDescent="0.3">
      <c r="A120">
        <v>119</v>
      </c>
      <c r="B120" s="24">
        <v>46218.396122685182</v>
      </c>
      <c r="C120" s="24">
        <v>46218.397824074076</v>
      </c>
      <c r="D120" t="s">
        <v>45</v>
      </c>
      <c r="F120" s="1"/>
      <c r="G120" t="s">
        <v>100</v>
      </c>
      <c r="H120" t="s">
        <v>47</v>
      </c>
      <c r="I120" t="s">
        <v>101</v>
      </c>
      <c r="J120" t="s">
        <v>71</v>
      </c>
      <c r="K120" t="s">
        <v>311</v>
      </c>
      <c r="L120" t="s">
        <v>51</v>
      </c>
      <c r="M120" t="s">
        <v>51</v>
      </c>
      <c r="N120" t="s">
        <v>52</v>
      </c>
      <c r="O120" t="s">
        <v>53</v>
      </c>
      <c r="P120" t="s">
        <v>74</v>
      </c>
      <c r="Q120" t="s">
        <v>55</v>
      </c>
      <c r="R120" t="s">
        <v>56</v>
      </c>
      <c r="S120" t="s">
        <v>57</v>
      </c>
      <c r="T120" t="s">
        <v>93</v>
      </c>
      <c r="U120" t="s">
        <v>59</v>
      </c>
      <c r="V120" t="s">
        <v>59</v>
      </c>
      <c r="W120" t="s">
        <v>59</v>
      </c>
      <c r="X120" t="s">
        <v>59</v>
      </c>
      <c r="Y120" t="s">
        <v>59</v>
      </c>
      <c r="Z120" t="s">
        <v>59</v>
      </c>
      <c r="AA120" t="s">
        <v>59</v>
      </c>
      <c r="AB120" t="s">
        <v>59</v>
      </c>
      <c r="AC120" t="s">
        <v>59</v>
      </c>
      <c r="AD120" t="s">
        <v>80</v>
      </c>
      <c r="AE120" t="s">
        <v>94</v>
      </c>
      <c r="AF120" t="s">
        <v>119</v>
      </c>
      <c r="AG120" t="s">
        <v>64</v>
      </c>
      <c r="AH120" t="s">
        <v>64</v>
      </c>
      <c r="AI120" t="s">
        <v>64</v>
      </c>
      <c r="AJ120" t="s">
        <v>82</v>
      </c>
      <c r="AK120" t="s">
        <v>64</v>
      </c>
      <c r="AL120" t="s">
        <v>120</v>
      </c>
      <c r="AM120" t="s">
        <v>67</v>
      </c>
      <c r="AN120" t="s">
        <v>89</v>
      </c>
      <c r="AO120" t="s">
        <v>63</v>
      </c>
      <c r="AP120" t="s">
        <v>107</v>
      </c>
      <c r="AQ120" t="s">
        <v>63</v>
      </c>
      <c r="AR120" s="25">
        <v>8</v>
      </c>
      <c r="AS120" t="s">
        <v>312</v>
      </c>
    </row>
    <row r="121" spans="1:45" x14ac:dyDescent="0.3">
      <c r="A121">
        <v>120</v>
      </c>
      <c r="B121" s="24">
        <v>46218.396724537037</v>
      </c>
      <c r="C121" s="24">
        <v>46218.398622685185</v>
      </c>
      <c r="D121" t="s">
        <v>45</v>
      </c>
      <c r="F121" s="1"/>
      <c r="G121" t="s">
        <v>46</v>
      </c>
      <c r="H121" t="s">
        <v>91</v>
      </c>
      <c r="I121" t="s">
        <v>48</v>
      </c>
      <c r="J121" t="s">
        <v>162</v>
      </c>
      <c r="K121" t="s">
        <v>109</v>
      </c>
      <c r="L121" t="s">
        <v>51</v>
      </c>
      <c r="M121" t="s">
        <v>73</v>
      </c>
      <c r="N121" t="s">
        <v>52</v>
      </c>
      <c r="O121" t="s">
        <v>53</v>
      </c>
      <c r="P121" t="s">
        <v>74</v>
      </c>
      <c r="Q121" t="s">
        <v>75</v>
      </c>
      <c r="R121" t="s">
        <v>76</v>
      </c>
      <c r="S121" t="s">
        <v>77</v>
      </c>
      <c r="T121" t="s">
        <v>93</v>
      </c>
      <c r="U121" t="s">
        <v>59</v>
      </c>
      <c r="V121" t="s">
        <v>59</v>
      </c>
      <c r="W121" t="s">
        <v>59</v>
      </c>
      <c r="X121" t="s">
        <v>59</v>
      </c>
      <c r="Y121" t="s">
        <v>59</v>
      </c>
      <c r="Z121" t="s">
        <v>59</v>
      </c>
      <c r="AA121" t="s">
        <v>59</v>
      </c>
      <c r="AB121" t="s">
        <v>59</v>
      </c>
      <c r="AC121" t="s">
        <v>59</v>
      </c>
      <c r="AD121" t="s">
        <v>60</v>
      </c>
      <c r="AE121" t="s">
        <v>61</v>
      </c>
      <c r="AF121" t="s">
        <v>62</v>
      </c>
      <c r="AG121" t="s">
        <v>63</v>
      </c>
      <c r="AH121" t="s">
        <v>63</v>
      </c>
      <c r="AI121" t="s">
        <v>63</v>
      </c>
      <c r="AJ121" t="s">
        <v>65</v>
      </c>
      <c r="AK121" t="s">
        <v>63</v>
      </c>
      <c r="AL121" t="s">
        <v>66</v>
      </c>
      <c r="AM121" t="s">
        <v>67</v>
      </c>
      <c r="AN121" t="s">
        <v>68</v>
      </c>
      <c r="AO121" t="s">
        <v>63</v>
      </c>
      <c r="AP121" t="s">
        <v>69</v>
      </c>
      <c r="AQ121" t="s">
        <v>63</v>
      </c>
      <c r="AR121" s="25">
        <v>9</v>
      </c>
      <c r="AS121" t="s">
        <v>313</v>
      </c>
    </row>
    <row r="122" spans="1:45" x14ac:dyDescent="0.3">
      <c r="A122">
        <v>121</v>
      </c>
      <c r="B122" s="24">
        <v>46218.396041666667</v>
      </c>
      <c r="C122" s="24">
        <v>46218.3987037037</v>
      </c>
      <c r="D122" t="s">
        <v>45</v>
      </c>
      <c r="F122" s="1"/>
      <c r="G122" t="s">
        <v>100</v>
      </c>
      <c r="H122" t="s">
        <v>47</v>
      </c>
      <c r="I122" t="s">
        <v>133</v>
      </c>
      <c r="J122" t="s">
        <v>104</v>
      </c>
      <c r="K122" t="s">
        <v>118</v>
      </c>
      <c r="L122" t="s">
        <v>73</v>
      </c>
      <c r="M122" t="s">
        <v>73</v>
      </c>
      <c r="N122" t="s">
        <v>52</v>
      </c>
      <c r="O122" t="s">
        <v>53</v>
      </c>
      <c r="P122" t="s">
        <v>74</v>
      </c>
      <c r="Q122" t="s">
        <v>75</v>
      </c>
      <c r="R122" t="s">
        <v>76</v>
      </c>
      <c r="S122" t="s">
        <v>77</v>
      </c>
      <c r="T122" t="s">
        <v>58</v>
      </c>
      <c r="U122" t="s">
        <v>59</v>
      </c>
      <c r="V122" t="s">
        <v>59</v>
      </c>
      <c r="W122" t="s">
        <v>79</v>
      </c>
      <c r="X122" t="s">
        <v>79</v>
      </c>
      <c r="Y122" t="s">
        <v>59</v>
      </c>
      <c r="Z122" t="s">
        <v>79</v>
      </c>
      <c r="AA122" t="s">
        <v>59</v>
      </c>
      <c r="AB122" t="s">
        <v>59</v>
      </c>
      <c r="AC122" t="s">
        <v>79</v>
      </c>
      <c r="AD122" t="s">
        <v>60</v>
      </c>
      <c r="AE122" t="s">
        <v>94</v>
      </c>
      <c r="AF122" t="s">
        <v>62</v>
      </c>
      <c r="AG122" t="s">
        <v>63</v>
      </c>
      <c r="AH122" t="s">
        <v>63</v>
      </c>
      <c r="AI122" t="s">
        <v>64</v>
      </c>
      <c r="AJ122" t="s">
        <v>65</v>
      </c>
      <c r="AK122" t="s">
        <v>63</v>
      </c>
      <c r="AL122" t="s">
        <v>120</v>
      </c>
      <c r="AM122" t="s">
        <v>121</v>
      </c>
      <c r="AN122" t="s">
        <v>89</v>
      </c>
      <c r="AO122" t="s">
        <v>63</v>
      </c>
      <c r="AP122" t="s">
        <v>107</v>
      </c>
      <c r="AQ122" t="s">
        <v>63</v>
      </c>
      <c r="AR122" s="25">
        <v>9</v>
      </c>
      <c r="AS122" t="s">
        <v>314</v>
      </c>
    </row>
    <row r="123" spans="1:45" x14ac:dyDescent="0.3">
      <c r="A123">
        <v>122</v>
      </c>
      <c r="B123" s="24">
        <v>46218.396886574075</v>
      </c>
      <c r="C123" s="24">
        <v>46218.399050925924</v>
      </c>
      <c r="D123" t="s">
        <v>45</v>
      </c>
      <c r="F123" s="1"/>
      <c r="G123" t="s">
        <v>46</v>
      </c>
      <c r="H123" t="s">
        <v>91</v>
      </c>
      <c r="I123" t="s">
        <v>84</v>
      </c>
      <c r="J123" t="s">
        <v>186</v>
      </c>
      <c r="K123" t="s">
        <v>165</v>
      </c>
      <c r="L123" t="s">
        <v>51</v>
      </c>
      <c r="M123" t="s">
        <v>51</v>
      </c>
      <c r="N123" t="s">
        <v>116</v>
      </c>
      <c r="O123" t="s">
        <v>53</v>
      </c>
      <c r="P123" t="s">
        <v>54</v>
      </c>
      <c r="Q123" t="s">
        <v>55</v>
      </c>
      <c r="R123" t="s">
        <v>56</v>
      </c>
      <c r="S123" t="s">
        <v>57</v>
      </c>
      <c r="T123" t="s">
        <v>93</v>
      </c>
      <c r="U123" t="s">
        <v>59</v>
      </c>
      <c r="V123" t="s">
        <v>59</v>
      </c>
      <c r="W123" t="s">
        <v>59</v>
      </c>
      <c r="X123" t="s">
        <v>59</v>
      </c>
      <c r="Y123" t="s">
        <v>59</v>
      </c>
      <c r="Z123" t="s">
        <v>59</v>
      </c>
      <c r="AA123" t="s">
        <v>59</v>
      </c>
      <c r="AB123" t="s">
        <v>59</v>
      </c>
      <c r="AC123" t="s">
        <v>59</v>
      </c>
      <c r="AD123" t="s">
        <v>80</v>
      </c>
      <c r="AE123" t="s">
        <v>61</v>
      </c>
      <c r="AF123" t="s">
        <v>62</v>
      </c>
      <c r="AG123" t="s">
        <v>63</v>
      </c>
      <c r="AH123" t="s">
        <v>63</v>
      </c>
      <c r="AI123" t="s">
        <v>63</v>
      </c>
      <c r="AJ123" t="s">
        <v>65</v>
      </c>
      <c r="AK123" t="s">
        <v>63</v>
      </c>
      <c r="AL123" t="s">
        <v>120</v>
      </c>
      <c r="AM123" t="s">
        <v>67</v>
      </c>
      <c r="AN123" t="s">
        <v>175</v>
      </c>
      <c r="AO123" t="s">
        <v>63</v>
      </c>
      <c r="AP123" t="s">
        <v>69</v>
      </c>
      <c r="AQ123" t="s">
        <v>63</v>
      </c>
      <c r="AR123" s="25">
        <v>8</v>
      </c>
      <c r="AS123" t="s">
        <v>315</v>
      </c>
    </row>
    <row r="124" spans="1:45" x14ac:dyDescent="0.3">
      <c r="A124">
        <v>123</v>
      </c>
      <c r="B124" s="24">
        <v>46218.398009259261</v>
      </c>
      <c r="C124" s="24">
        <v>46218.399456018517</v>
      </c>
      <c r="D124" t="s">
        <v>45</v>
      </c>
      <c r="F124" s="1"/>
      <c r="G124" t="s">
        <v>46</v>
      </c>
      <c r="H124" t="s">
        <v>91</v>
      </c>
      <c r="I124" t="s">
        <v>48</v>
      </c>
      <c r="J124" t="s">
        <v>49</v>
      </c>
      <c r="K124" t="s">
        <v>316</v>
      </c>
      <c r="L124" t="s">
        <v>146</v>
      </c>
      <c r="M124" t="s">
        <v>51</v>
      </c>
      <c r="N124" t="s">
        <v>116</v>
      </c>
      <c r="O124" t="s">
        <v>53</v>
      </c>
      <c r="P124" t="s">
        <v>54</v>
      </c>
      <c r="Q124" t="s">
        <v>55</v>
      </c>
      <c r="R124" t="s">
        <v>56</v>
      </c>
      <c r="S124" t="s">
        <v>57</v>
      </c>
      <c r="T124" t="s">
        <v>93</v>
      </c>
      <c r="U124" t="s">
        <v>59</v>
      </c>
      <c r="V124" t="s">
        <v>79</v>
      </c>
      <c r="W124" t="s">
        <v>79</v>
      </c>
      <c r="X124" t="s">
        <v>59</v>
      </c>
      <c r="Y124" t="s">
        <v>59</v>
      </c>
      <c r="Z124" t="s">
        <v>59</v>
      </c>
      <c r="AA124" t="s">
        <v>59</v>
      </c>
      <c r="AB124" t="s">
        <v>59</v>
      </c>
      <c r="AC124" t="s">
        <v>59</v>
      </c>
      <c r="AD124" t="s">
        <v>60</v>
      </c>
      <c r="AE124" t="s">
        <v>94</v>
      </c>
      <c r="AF124" t="s">
        <v>119</v>
      </c>
      <c r="AG124" t="s">
        <v>64</v>
      </c>
      <c r="AH124" t="s">
        <v>63</v>
      </c>
      <c r="AI124" t="s">
        <v>63</v>
      </c>
      <c r="AJ124" t="s">
        <v>65</v>
      </c>
      <c r="AK124" t="s">
        <v>64</v>
      </c>
      <c r="AL124" t="s">
        <v>66</v>
      </c>
      <c r="AM124" t="s">
        <v>67</v>
      </c>
      <c r="AN124" t="s">
        <v>68</v>
      </c>
      <c r="AO124" t="s">
        <v>63</v>
      </c>
      <c r="AP124" t="s">
        <v>110</v>
      </c>
      <c r="AQ124" t="s">
        <v>63</v>
      </c>
      <c r="AR124" s="25">
        <v>8</v>
      </c>
      <c r="AS124" t="s">
        <v>317</v>
      </c>
    </row>
    <row r="125" spans="1:45" x14ac:dyDescent="0.3">
      <c r="A125">
        <v>124</v>
      </c>
      <c r="B125" s="24">
        <v>46218.396689814814</v>
      </c>
      <c r="C125" s="24">
        <v>46218.399641203701</v>
      </c>
      <c r="D125" t="s">
        <v>45</v>
      </c>
      <c r="F125" s="1"/>
      <c r="G125" t="s">
        <v>46</v>
      </c>
      <c r="H125" t="s">
        <v>318</v>
      </c>
      <c r="I125" t="s">
        <v>101</v>
      </c>
      <c r="J125" t="s">
        <v>49</v>
      </c>
      <c r="K125" t="s">
        <v>319</v>
      </c>
      <c r="L125" t="s">
        <v>73</v>
      </c>
      <c r="M125" t="s">
        <v>73</v>
      </c>
      <c r="N125" t="s">
        <v>52</v>
      </c>
      <c r="O125" t="s">
        <v>228</v>
      </c>
      <c r="P125" t="s">
        <v>74</v>
      </c>
      <c r="Q125" t="s">
        <v>75</v>
      </c>
      <c r="R125" t="s">
        <v>76</v>
      </c>
      <c r="S125" t="s">
        <v>77</v>
      </c>
      <c r="T125" t="s">
        <v>58</v>
      </c>
      <c r="U125" t="s">
        <v>59</v>
      </c>
      <c r="V125" t="s">
        <v>79</v>
      </c>
      <c r="W125" t="s">
        <v>59</v>
      </c>
      <c r="X125" t="s">
        <v>59</v>
      </c>
      <c r="Y125" t="s">
        <v>59</v>
      </c>
      <c r="Z125" t="s">
        <v>59</v>
      </c>
      <c r="AA125" t="s">
        <v>59</v>
      </c>
      <c r="AB125" t="s">
        <v>59</v>
      </c>
      <c r="AC125" t="s">
        <v>59</v>
      </c>
      <c r="AD125" t="s">
        <v>60</v>
      </c>
      <c r="AE125" t="s">
        <v>61</v>
      </c>
      <c r="AF125" t="s">
        <v>62</v>
      </c>
      <c r="AG125" t="s">
        <v>63</v>
      </c>
      <c r="AH125" t="s">
        <v>63</v>
      </c>
      <c r="AI125" t="s">
        <v>63</v>
      </c>
      <c r="AJ125" t="s">
        <v>82</v>
      </c>
      <c r="AK125" t="s">
        <v>63</v>
      </c>
      <c r="AL125" t="s">
        <v>102</v>
      </c>
      <c r="AM125" t="s">
        <v>67</v>
      </c>
      <c r="AN125" t="s">
        <v>68</v>
      </c>
      <c r="AO125" t="s">
        <v>63</v>
      </c>
      <c r="AP125" t="s">
        <v>69</v>
      </c>
      <c r="AQ125" t="s">
        <v>63</v>
      </c>
      <c r="AR125" s="25">
        <v>8</v>
      </c>
      <c r="AS125" t="s">
        <v>320</v>
      </c>
    </row>
    <row r="126" spans="1:45" x14ac:dyDescent="0.3">
      <c r="A126">
        <v>125</v>
      </c>
      <c r="B126" s="24">
        <v>46218.396134259259</v>
      </c>
      <c r="C126" s="24">
        <v>46218.399884259263</v>
      </c>
      <c r="D126" t="s">
        <v>45</v>
      </c>
      <c r="F126" s="1"/>
      <c r="G126" t="s">
        <v>46</v>
      </c>
      <c r="H126" t="s">
        <v>47</v>
      </c>
      <c r="I126" t="s">
        <v>48</v>
      </c>
      <c r="J126" t="s">
        <v>49</v>
      </c>
      <c r="K126" t="s">
        <v>275</v>
      </c>
      <c r="L126" t="s">
        <v>73</v>
      </c>
      <c r="M126" t="s">
        <v>73</v>
      </c>
      <c r="N126" t="s">
        <v>52</v>
      </c>
      <c r="O126" t="s">
        <v>228</v>
      </c>
      <c r="P126" t="s">
        <v>74</v>
      </c>
      <c r="Q126" t="s">
        <v>75</v>
      </c>
      <c r="R126" t="s">
        <v>76</v>
      </c>
      <c r="S126" t="s">
        <v>77</v>
      </c>
      <c r="T126" t="s">
        <v>78</v>
      </c>
      <c r="U126" t="s">
        <v>87</v>
      </c>
      <c r="V126" t="s">
        <v>87</v>
      </c>
      <c r="W126" t="s">
        <v>87</v>
      </c>
      <c r="X126" t="s">
        <v>87</v>
      </c>
      <c r="Y126" t="s">
        <v>59</v>
      </c>
      <c r="Z126" t="s">
        <v>87</v>
      </c>
      <c r="AA126" t="s">
        <v>86</v>
      </c>
      <c r="AB126" t="s">
        <v>79</v>
      </c>
      <c r="AC126" t="s">
        <v>59</v>
      </c>
      <c r="AD126" t="s">
        <v>60</v>
      </c>
      <c r="AE126" t="s">
        <v>94</v>
      </c>
      <c r="AF126" t="s">
        <v>62</v>
      </c>
      <c r="AG126" t="s">
        <v>63</v>
      </c>
      <c r="AH126" t="s">
        <v>64</v>
      </c>
      <c r="AI126" t="s">
        <v>64</v>
      </c>
      <c r="AJ126" t="s">
        <v>82</v>
      </c>
      <c r="AK126" t="s">
        <v>63</v>
      </c>
      <c r="AL126" t="s">
        <v>120</v>
      </c>
      <c r="AM126" t="s">
        <v>137</v>
      </c>
      <c r="AN126" t="s">
        <v>68</v>
      </c>
      <c r="AO126" t="s">
        <v>81</v>
      </c>
      <c r="AP126" t="s">
        <v>107</v>
      </c>
      <c r="AQ126" t="s">
        <v>63</v>
      </c>
      <c r="AR126" s="25">
        <v>8</v>
      </c>
      <c r="AS126" t="s">
        <v>321</v>
      </c>
    </row>
    <row r="127" spans="1:45" x14ac:dyDescent="0.3">
      <c r="A127">
        <v>126</v>
      </c>
      <c r="B127" s="24">
        <v>46218.396979166668</v>
      </c>
      <c r="C127" s="24">
        <v>46218.400011574071</v>
      </c>
      <c r="D127" t="s">
        <v>45</v>
      </c>
      <c r="F127" s="1"/>
      <c r="G127" t="s">
        <v>46</v>
      </c>
      <c r="H127" t="s">
        <v>91</v>
      </c>
      <c r="I127" t="s">
        <v>101</v>
      </c>
      <c r="J127" t="s">
        <v>49</v>
      </c>
      <c r="K127" t="s">
        <v>230</v>
      </c>
      <c r="L127" t="s">
        <v>51</v>
      </c>
      <c r="M127" t="s">
        <v>51</v>
      </c>
      <c r="N127" t="s">
        <v>52</v>
      </c>
      <c r="O127" t="s">
        <v>53</v>
      </c>
      <c r="P127" t="s">
        <v>74</v>
      </c>
      <c r="Q127" t="s">
        <v>75</v>
      </c>
      <c r="R127" t="s">
        <v>76</v>
      </c>
      <c r="S127" t="s">
        <v>77</v>
      </c>
      <c r="T127" t="s">
        <v>58</v>
      </c>
      <c r="U127" t="s">
        <v>59</v>
      </c>
      <c r="V127" t="s">
        <v>59</v>
      </c>
      <c r="W127" t="s">
        <v>59</v>
      </c>
      <c r="X127" t="s">
        <v>59</v>
      </c>
      <c r="Y127" t="s">
        <v>79</v>
      </c>
      <c r="Z127" t="s">
        <v>79</v>
      </c>
      <c r="AA127" t="s">
        <v>79</v>
      </c>
      <c r="AB127" t="s">
        <v>79</v>
      </c>
      <c r="AC127" t="s">
        <v>59</v>
      </c>
      <c r="AD127" t="s">
        <v>80</v>
      </c>
      <c r="AE127" t="s">
        <v>61</v>
      </c>
      <c r="AF127" t="s">
        <v>62</v>
      </c>
      <c r="AG127" t="s">
        <v>63</v>
      </c>
      <c r="AH127" t="s">
        <v>63</v>
      </c>
      <c r="AI127" t="s">
        <v>63</v>
      </c>
      <c r="AJ127" t="s">
        <v>82</v>
      </c>
      <c r="AK127" t="s">
        <v>63</v>
      </c>
      <c r="AL127" t="s">
        <v>66</v>
      </c>
      <c r="AM127" t="s">
        <v>121</v>
      </c>
      <c r="AN127" t="s">
        <v>68</v>
      </c>
      <c r="AO127" t="s">
        <v>63</v>
      </c>
      <c r="AP127" t="s">
        <v>98</v>
      </c>
      <c r="AQ127" t="s">
        <v>63</v>
      </c>
      <c r="AR127" s="25">
        <v>9</v>
      </c>
      <c r="AS127" t="s">
        <v>322</v>
      </c>
    </row>
    <row r="128" spans="1:45" x14ac:dyDescent="0.3">
      <c r="A128">
        <v>127</v>
      </c>
      <c r="B128" s="24">
        <v>46218.399537037039</v>
      </c>
      <c r="C128" s="24">
        <v>46218.400752314818</v>
      </c>
      <c r="D128" t="s">
        <v>45</v>
      </c>
      <c r="F128" s="1"/>
      <c r="G128" t="s">
        <v>46</v>
      </c>
      <c r="H128" t="s">
        <v>47</v>
      </c>
      <c r="I128" t="s">
        <v>101</v>
      </c>
      <c r="J128" t="s">
        <v>186</v>
      </c>
      <c r="K128" t="s">
        <v>298</v>
      </c>
      <c r="L128" t="s">
        <v>51</v>
      </c>
      <c r="M128" t="s">
        <v>51</v>
      </c>
      <c r="N128" t="s">
        <v>52</v>
      </c>
      <c r="O128" t="s">
        <v>53</v>
      </c>
      <c r="P128" t="s">
        <v>74</v>
      </c>
      <c r="Q128" t="s">
        <v>55</v>
      </c>
      <c r="R128" t="s">
        <v>76</v>
      </c>
      <c r="S128" t="s">
        <v>77</v>
      </c>
      <c r="T128" t="s">
        <v>58</v>
      </c>
      <c r="U128" t="s">
        <v>59</v>
      </c>
      <c r="V128" t="s">
        <v>59</v>
      </c>
      <c r="W128" t="s">
        <v>79</v>
      </c>
      <c r="X128" t="s">
        <v>59</v>
      </c>
      <c r="Y128" t="s">
        <v>59</v>
      </c>
      <c r="Z128" t="s">
        <v>59</v>
      </c>
      <c r="AA128" t="s">
        <v>59</v>
      </c>
      <c r="AB128" t="s">
        <v>59</v>
      </c>
      <c r="AC128" t="s">
        <v>59</v>
      </c>
      <c r="AD128" t="s">
        <v>80</v>
      </c>
      <c r="AE128" t="s">
        <v>94</v>
      </c>
      <c r="AF128" t="s">
        <v>62</v>
      </c>
      <c r="AG128" t="s">
        <v>63</v>
      </c>
      <c r="AH128" t="s">
        <v>64</v>
      </c>
      <c r="AI128" t="s">
        <v>63</v>
      </c>
      <c r="AJ128" t="s">
        <v>65</v>
      </c>
      <c r="AK128" t="s">
        <v>64</v>
      </c>
      <c r="AL128" t="s">
        <v>66</v>
      </c>
      <c r="AM128" t="s">
        <v>121</v>
      </c>
      <c r="AN128" t="s">
        <v>68</v>
      </c>
      <c r="AO128" t="s">
        <v>64</v>
      </c>
      <c r="AP128" t="s">
        <v>98</v>
      </c>
      <c r="AQ128" t="s">
        <v>63</v>
      </c>
      <c r="AR128" s="25">
        <v>9</v>
      </c>
      <c r="AS128" t="s">
        <v>323</v>
      </c>
    </row>
    <row r="129" spans="1:45" x14ac:dyDescent="0.3">
      <c r="A129">
        <v>128</v>
      </c>
      <c r="B129" s="24">
        <v>46218.398842592593</v>
      </c>
      <c r="C129" s="24">
        <v>46218.400775462964</v>
      </c>
      <c r="D129" t="s">
        <v>45</v>
      </c>
      <c r="F129" s="1"/>
      <c r="G129" t="s">
        <v>100</v>
      </c>
      <c r="H129" t="s">
        <v>91</v>
      </c>
      <c r="I129" t="s">
        <v>48</v>
      </c>
      <c r="J129" t="s">
        <v>71</v>
      </c>
      <c r="K129" t="s">
        <v>240</v>
      </c>
      <c r="L129" t="s">
        <v>73</v>
      </c>
      <c r="M129" t="s">
        <v>51</v>
      </c>
      <c r="N129" t="s">
        <v>52</v>
      </c>
      <c r="O129" t="s">
        <v>53</v>
      </c>
      <c r="P129" t="s">
        <v>74</v>
      </c>
      <c r="Q129" t="s">
        <v>75</v>
      </c>
      <c r="R129" t="s">
        <v>56</v>
      </c>
      <c r="S129" t="s">
        <v>77</v>
      </c>
      <c r="T129" t="s">
        <v>58</v>
      </c>
      <c r="U129" t="s">
        <v>59</v>
      </c>
      <c r="V129" t="s">
        <v>59</v>
      </c>
      <c r="W129" t="s">
        <v>59</v>
      </c>
      <c r="X129" t="s">
        <v>59</v>
      </c>
      <c r="Y129" t="s">
        <v>59</v>
      </c>
      <c r="Z129" t="s">
        <v>59</v>
      </c>
      <c r="AA129" t="s">
        <v>59</v>
      </c>
      <c r="AB129" t="s">
        <v>59</v>
      </c>
      <c r="AC129" t="s">
        <v>59</v>
      </c>
      <c r="AD129" t="s">
        <v>60</v>
      </c>
      <c r="AE129" t="s">
        <v>61</v>
      </c>
      <c r="AF129" t="s">
        <v>62</v>
      </c>
      <c r="AG129" t="s">
        <v>63</v>
      </c>
      <c r="AH129" t="s">
        <v>63</v>
      </c>
      <c r="AI129" t="s">
        <v>63</v>
      </c>
      <c r="AJ129" t="s">
        <v>65</v>
      </c>
      <c r="AK129" t="s">
        <v>63</v>
      </c>
      <c r="AL129" t="s">
        <v>102</v>
      </c>
      <c r="AM129" t="s">
        <v>67</v>
      </c>
      <c r="AN129" t="s">
        <v>68</v>
      </c>
      <c r="AO129" t="s">
        <v>63</v>
      </c>
      <c r="AP129" t="s">
        <v>69</v>
      </c>
      <c r="AQ129" t="s">
        <v>63</v>
      </c>
      <c r="AR129" s="25">
        <v>8</v>
      </c>
      <c r="AS129" t="s">
        <v>324</v>
      </c>
    </row>
    <row r="130" spans="1:45" x14ac:dyDescent="0.3">
      <c r="A130">
        <v>129</v>
      </c>
      <c r="B130" s="24">
        <v>46218.398564814815</v>
      </c>
      <c r="C130" s="24">
        <v>46218.401053240741</v>
      </c>
      <c r="D130" t="s">
        <v>45</v>
      </c>
      <c r="F130" s="1"/>
      <c r="G130" t="s">
        <v>100</v>
      </c>
      <c r="H130" t="s">
        <v>91</v>
      </c>
      <c r="I130" t="s">
        <v>101</v>
      </c>
      <c r="J130" t="s">
        <v>49</v>
      </c>
      <c r="K130" t="s">
        <v>109</v>
      </c>
      <c r="L130" t="s">
        <v>73</v>
      </c>
      <c r="M130" t="s">
        <v>73</v>
      </c>
      <c r="N130" t="s">
        <v>52</v>
      </c>
      <c r="O130" t="s">
        <v>53</v>
      </c>
      <c r="P130" t="s">
        <v>74</v>
      </c>
      <c r="Q130" t="s">
        <v>75</v>
      </c>
      <c r="R130" t="s">
        <v>76</v>
      </c>
      <c r="S130" t="s">
        <v>77</v>
      </c>
      <c r="T130" t="s">
        <v>58</v>
      </c>
      <c r="U130" t="s">
        <v>59</v>
      </c>
      <c r="V130" t="s">
        <v>59</v>
      </c>
      <c r="W130" t="s">
        <v>59</v>
      </c>
      <c r="X130" t="s">
        <v>59</v>
      </c>
      <c r="Y130" t="s">
        <v>59</v>
      </c>
      <c r="Z130" t="s">
        <v>59</v>
      </c>
      <c r="AA130" t="s">
        <v>59</v>
      </c>
      <c r="AB130" t="s">
        <v>59</v>
      </c>
      <c r="AC130" t="s">
        <v>59</v>
      </c>
      <c r="AD130" t="s">
        <v>60</v>
      </c>
      <c r="AE130" t="s">
        <v>61</v>
      </c>
      <c r="AF130" t="s">
        <v>62</v>
      </c>
      <c r="AG130" t="s">
        <v>63</v>
      </c>
      <c r="AH130" t="s">
        <v>63</v>
      </c>
      <c r="AI130" t="s">
        <v>63</v>
      </c>
      <c r="AJ130" t="s">
        <v>82</v>
      </c>
      <c r="AK130" t="s">
        <v>63</v>
      </c>
      <c r="AL130" t="s">
        <v>120</v>
      </c>
      <c r="AM130" t="s">
        <v>67</v>
      </c>
      <c r="AN130" t="s">
        <v>89</v>
      </c>
      <c r="AO130" t="s">
        <v>63</v>
      </c>
      <c r="AP130" t="s">
        <v>69</v>
      </c>
      <c r="AQ130" t="s">
        <v>63</v>
      </c>
      <c r="AR130" s="25">
        <v>8</v>
      </c>
      <c r="AS130" t="s">
        <v>325</v>
      </c>
    </row>
    <row r="131" spans="1:45" x14ac:dyDescent="0.3">
      <c r="A131">
        <v>130</v>
      </c>
      <c r="B131" s="24">
        <v>46218.400937500002</v>
      </c>
      <c r="C131" s="24">
        <v>46218.402094907404</v>
      </c>
      <c r="D131" t="s">
        <v>45</v>
      </c>
      <c r="F131" s="1"/>
      <c r="G131" t="s">
        <v>46</v>
      </c>
      <c r="H131" t="s">
        <v>47</v>
      </c>
      <c r="I131" t="s">
        <v>48</v>
      </c>
      <c r="J131" t="s">
        <v>49</v>
      </c>
      <c r="K131" t="s">
        <v>326</v>
      </c>
      <c r="L131" t="s">
        <v>73</v>
      </c>
      <c r="M131" t="s">
        <v>73</v>
      </c>
      <c r="N131" t="s">
        <v>116</v>
      </c>
      <c r="O131" t="s">
        <v>53</v>
      </c>
      <c r="P131" t="s">
        <v>74</v>
      </c>
      <c r="Q131" t="s">
        <v>55</v>
      </c>
      <c r="R131" t="s">
        <v>76</v>
      </c>
      <c r="S131" t="s">
        <v>77</v>
      </c>
      <c r="T131" t="s">
        <v>93</v>
      </c>
      <c r="U131" t="s">
        <v>79</v>
      </c>
      <c r="V131" t="s">
        <v>79</v>
      </c>
      <c r="W131" t="s">
        <v>59</v>
      </c>
      <c r="X131" t="s">
        <v>59</v>
      </c>
      <c r="Y131" t="s">
        <v>59</v>
      </c>
      <c r="Z131" t="s">
        <v>59</v>
      </c>
      <c r="AA131" t="s">
        <v>79</v>
      </c>
      <c r="AB131" t="s">
        <v>79</v>
      </c>
      <c r="AC131" t="s">
        <v>59</v>
      </c>
      <c r="AD131" t="s">
        <v>80</v>
      </c>
      <c r="AE131" t="s">
        <v>61</v>
      </c>
      <c r="AF131" t="s">
        <v>119</v>
      </c>
      <c r="AG131" t="s">
        <v>64</v>
      </c>
      <c r="AH131" t="s">
        <v>64</v>
      </c>
      <c r="AI131" t="s">
        <v>63</v>
      </c>
      <c r="AJ131" t="s">
        <v>65</v>
      </c>
      <c r="AK131" t="s">
        <v>64</v>
      </c>
      <c r="AL131" t="s">
        <v>66</v>
      </c>
      <c r="AM131" t="s">
        <v>67</v>
      </c>
      <c r="AN131" t="s">
        <v>89</v>
      </c>
      <c r="AO131" t="s">
        <v>63</v>
      </c>
      <c r="AP131" t="s">
        <v>107</v>
      </c>
      <c r="AQ131" t="s">
        <v>63</v>
      </c>
      <c r="AR131" s="25">
        <v>9</v>
      </c>
      <c r="AS131" t="s">
        <v>327</v>
      </c>
    </row>
    <row r="132" spans="1:45" x14ac:dyDescent="0.3">
      <c r="A132">
        <v>131</v>
      </c>
      <c r="B132" s="24">
        <v>46218.399571759262</v>
      </c>
      <c r="C132" s="24">
        <v>46218.403136574074</v>
      </c>
      <c r="D132" t="s">
        <v>45</v>
      </c>
      <c r="F132" s="1"/>
      <c r="G132" t="s">
        <v>100</v>
      </c>
      <c r="H132" t="s">
        <v>47</v>
      </c>
      <c r="I132" t="s">
        <v>48</v>
      </c>
      <c r="J132" t="s">
        <v>162</v>
      </c>
      <c r="K132" t="s">
        <v>291</v>
      </c>
      <c r="L132" t="s">
        <v>73</v>
      </c>
      <c r="M132" t="s">
        <v>73</v>
      </c>
      <c r="N132" t="s">
        <v>52</v>
      </c>
      <c r="O132" t="s">
        <v>53</v>
      </c>
      <c r="P132" t="s">
        <v>74</v>
      </c>
      <c r="Q132" t="s">
        <v>75</v>
      </c>
      <c r="R132" t="s">
        <v>76</v>
      </c>
      <c r="S132" t="s">
        <v>57</v>
      </c>
      <c r="T132" t="s">
        <v>93</v>
      </c>
      <c r="U132" t="s">
        <v>59</v>
      </c>
      <c r="V132" t="s">
        <v>79</v>
      </c>
      <c r="W132" t="s">
        <v>59</v>
      </c>
      <c r="X132" t="s">
        <v>79</v>
      </c>
      <c r="Y132" t="s">
        <v>79</v>
      </c>
      <c r="Z132" t="s">
        <v>59</v>
      </c>
      <c r="AA132" t="s">
        <v>59</v>
      </c>
      <c r="AB132" t="s">
        <v>79</v>
      </c>
      <c r="AC132" t="s">
        <v>59</v>
      </c>
      <c r="AD132" t="s">
        <v>60</v>
      </c>
      <c r="AE132" t="s">
        <v>61</v>
      </c>
      <c r="AF132" t="s">
        <v>62</v>
      </c>
      <c r="AG132" t="s">
        <v>63</v>
      </c>
      <c r="AH132" t="s">
        <v>63</v>
      </c>
      <c r="AI132" t="s">
        <v>64</v>
      </c>
      <c r="AJ132" t="s">
        <v>65</v>
      </c>
      <c r="AK132" t="s">
        <v>63</v>
      </c>
      <c r="AL132" t="s">
        <v>120</v>
      </c>
      <c r="AM132" t="s">
        <v>67</v>
      </c>
      <c r="AN132" t="s">
        <v>89</v>
      </c>
      <c r="AO132" t="s">
        <v>63</v>
      </c>
      <c r="AP132" t="s">
        <v>107</v>
      </c>
      <c r="AQ132" t="s">
        <v>63</v>
      </c>
      <c r="AR132" s="25">
        <v>9</v>
      </c>
      <c r="AS132" t="s">
        <v>328</v>
      </c>
    </row>
    <row r="133" spans="1:45" x14ac:dyDescent="0.3">
      <c r="A133">
        <v>132</v>
      </c>
      <c r="B133" s="24">
        <v>46218.402175925927</v>
      </c>
      <c r="C133" s="24">
        <v>46218.403935185182</v>
      </c>
      <c r="D133" t="s">
        <v>45</v>
      </c>
      <c r="F133" s="1"/>
      <c r="G133" t="s">
        <v>46</v>
      </c>
      <c r="H133" t="s">
        <v>91</v>
      </c>
      <c r="I133" t="s">
        <v>133</v>
      </c>
      <c r="J133" t="s">
        <v>162</v>
      </c>
      <c r="K133" t="s">
        <v>232</v>
      </c>
      <c r="L133" t="s">
        <v>146</v>
      </c>
      <c r="M133" t="s">
        <v>146</v>
      </c>
      <c r="N133" t="s">
        <v>52</v>
      </c>
      <c r="O133" t="s">
        <v>53</v>
      </c>
      <c r="P133" t="s">
        <v>74</v>
      </c>
      <c r="Q133" t="s">
        <v>55</v>
      </c>
      <c r="R133" t="s">
        <v>56</v>
      </c>
      <c r="S133" t="s">
        <v>77</v>
      </c>
      <c r="T133" t="s">
        <v>93</v>
      </c>
      <c r="U133" t="s">
        <v>79</v>
      </c>
      <c r="V133" t="s">
        <v>59</v>
      </c>
      <c r="W133" t="s">
        <v>59</v>
      </c>
      <c r="X133" t="s">
        <v>59</v>
      </c>
      <c r="Y133" t="s">
        <v>59</v>
      </c>
      <c r="Z133" t="s">
        <v>87</v>
      </c>
      <c r="AA133" t="s">
        <v>59</v>
      </c>
      <c r="AB133" t="s">
        <v>59</v>
      </c>
      <c r="AC133" t="s">
        <v>59</v>
      </c>
      <c r="AD133" t="s">
        <v>60</v>
      </c>
      <c r="AE133" t="s">
        <v>61</v>
      </c>
      <c r="AF133" t="s">
        <v>119</v>
      </c>
      <c r="AG133" t="s">
        <v>63</v>
      </c>
      <c r="AH133" t="s">
        <v>63</v>
      </c>
      <c r="AI133" t="s">
        <v>64</v>
      </c>
      <c r="AJ133" t="s">
        <v>65</v>
      </c>
      <c r="AK133" t="s">
        <v>64</v>
      </c>
      <c r="AL133" t="s">
        <v>102</v>
      </c>
      <c r="AM133" t="s">
        <v>67</v>
      </c>
      <c r="AN133" t="s">
        <v>89</v>
      </c>
      <c r="AO133" t="s">
        <v>63</v>
      </c>
      <c r="AP133" t="s">
        <v>98</v>
      </c>
      <c r="AQ133" t="s">
        <v>63</v>
      </c>
      <c r="AR133" s="25">
        <v>10</v>
      </c>
      <c r="AS133" t="s">
        <v>329</v>
      </c>
    </row>
    <row r="134" spans="1:45" x14ac:dyDescent="0.3">
      <c r="A134">
        <v>133</v>
      </c>
      <c r="B134" s="24">
        <v>46218.401331018518</v>
      </c>
      <c r="C134" s="24">
        <v>46218.404143518521</v>
      </c>
      <c r="D134" t="s">
        <v>45</v>
      </c>
      <c r="F134" s="1"/>
      <c r="G134" t="s">
        <v>46</v>
      </c>
      <c r="H134" t="s">
        <v>47</v>
      </c>
      <c r="I134" t="s">
        <v>48</v>
      </c>
      <c r="J134" t="s">
        <v>104</v>
      </c>
      <c r="K134" t="s">
        <v>330</v>
      </c>
      <c r="L134" t="s">
        <v>146</v>
      </c>
      <c r="M134" t="s">
        <v>73</v>
      </c>
      <c r="N134" t="s">
        <v>199</v>
      </c>
      <c r="O134" t="s">
        <v>53</v>
      </c>
      <c r="P134" t="s">
        <v>74</v>
      </c>
      <c r="Q134" t="s">
        <v>331</v>
      </c>
      <c r="R134" t="s">
        <v>76</v>
      </c>
      <c r="S134" t="s">
        <v>106</v>
      </c>
      <c r="T134" t="s">
        <v>58</v>
      </c>
      <c r="U134" t="s">
        <v>79</v>
      </c>
      <c r="V134" t="s">
        <v>59</v>
      </c>
      <c r="W134" t="s">
        <v>59</v>
      </c>
      <c r="X134" t="s">
        <v>87</v>
      </c>
      <c r="Y134" t="s">
        <v>59</v>
      </c>
      <c r="Z134" t="s">
        <v>59</v>
      </c>
      <c r="AA134" t="s">
        <v>59</v>
      </c>
      <c r="AB134" t="s">
        <v>59</v>
      </c>
      <c r="AC134" t="s">
        <v>59</v>
      </c>
      <c r="AD134" t="s">
        <v>80</v>
      </c>
      <c r="AE134" t="s">
        <v>94</v>
      </c>
      <c r="AF134" t="s">
        <v>62</v>
      </c>
      <c r="AG134" t="s">
        <v>81</v>
      </c>
      <c r="AH134" t="s">
        <v>63</v>
      </c>
      <c r="AI134" t="s">
        <v>81</v>
      </c>
      <c r="AJ134" t="s">
        <v>65</v>
      </c>
      <c r="AK134" t="s">
        <v>63</v>
      </c>
      <c r="AL134" t="s">
        <v>137</v>
      </c>
      <c r="AM134" t="s">
        <v>137</v>
      </c>
      <c r="AN134" t="s">
        <v>68</v>
      </c>
      <c r="AO134" t="s">
        <v>81</v>
      </c>
      <c r="AP134" t="s">
        <v>107</v>
      </c>
      <c r="AQ134" t="s">
        <v>63</v>
      </c>
      <c r="AR134" s="25">
        <v>8</v>
      </c>
      <c r="AS134" t="s">
        <v>332</v>
      </c>
    </row>
    <row r="135" spans="1:45" x14ac:dyDescent="0.3">
      <c r="A135">
        <v>134</v>
      </c>
      <c r="B135" s="24">
        <v>46218.403182870374</v>
      </c>
      <c r="C135" s="24">
        <v>46218.404675925929</v>
      </c>
      <c r="D135" t="s">
        <v>45</v>
      </c>
      <c r="F135" s="1"/>
      <c r="G135" t="s">
        <v>46</v>
      </c>
      <c r="H135" t="s">
        <v>47</v>
      </c>
      <c r="I135" t="s">
        <v>101</v>
      </c>
      <c r="J135" t="s">
        <v>162</v>
      </c>
      <c r="K135" t="s">
        <v>333</v>
      </c>
      <c r="L135" t="s">
        <v>51</v>
      </c>
      <c r="M135" t="s">
        <v>73</v>
      </c>
      <c r="N135" t="s">
        <v>116</v>
      </c>
      <c r="O135" t="s">
        <v>53</v>
      </c>
      <c r="P135" t="s">
        <v>74</v>
      </c>
      <c r="Q135" t="s">
        <v>75</v>
      </c>
      <c r="R135" t="s">
        <v>76</v>
      </c>
      <c r="S135" t="s">
        <v>77</v>
      </c>
      <c r="T135" t="s">
        <v>58</v>
      </c>
      <c r="U135" t="s">
        <v>59</v>
      </c>
      <c r="V135" t="s">
        <v>59</v>
      </c>
      <c r="W135" t="s">
        <v>59</v>
      </c>
      <c r="X135" t="s">
        <v>59</v>
      </c>
      <c r="Y135" t="s">
        <v>59</v>
      </c>
      <c r="Z135" t="s">
        <v>59</v>
      </c>
      <c r="AA135" t="s">
        <v>59</v>
      </c>
      <c r="AB135" t="s">
        <v>59</v>
      </c>
      <c r="AC135" t="s">
        <v>59</v>
      </c>
      <c r="AD135" t="s">
        <v>60</v>
      </c>
      <c r="AE135" t="s">
        <v>61</v>
      </c>
      <c r="AF135" t="s">
        <v>62</v>
      </c>
      <c r="AG135" t="s">
        <v>63</v>
      </c>
      <c r="AH135" t="s">
        <v>63</v>
      </c>
      <c r="AI135" t="s">
        <v>63</v>
      </c>
      <c r="AJ135" t="s">
        <v>65</v>
      </c>
      <c r="AK135" t="s">
        <v>63</v>
      </c>
      <c r="AL135" t="s">
        <v>66</v>
      </c>
      <c r="AM135" t="s">
        <v>67</v>
      </c>
      <c r="AN135" t="s">
        <v>68</v>
      </c>
      <c r="AO135" t="s">
        <v>63</v>
      </c>
      <c r="AP135" t="s">
        <v>69</v>
      </c>
      <c r="AQ135" t="s">
        <v>63</v>
      </c>
      <c r="AR135" s="25">
        <v>9</v>
      </c>
      <c r="AS135" t="s">
        <v>334</v>
      </c>
    </row>
    <row r="136" spans="1:45" x14ac:dyDescent="0.3">
      <c r="A136">
        <v>135</v>
      </c>
      <c r="B136" s="24">
        <v>46218.402546296296</v>
      </c>
      <c r="C136" s="24">
        <v>46218.404733796298</v>
      </c>
      <c r="D136" t="s">
        <v>45</v>
      </c>
      <c r="F136" s="1"/>
      <c r="G136" t="s">
        <v>46</v>
      </c>
      <c r="H136" t="s">
        <v>91</v>
      </c>
      <c r="I136" t="s">
        <v>84</v>
      </c>
      <c r="J136" t="s">
        <v>162</v>
      </c>
      <c r="K136" t="s">
        <v>109</v>
      </c>
      <c r="L136" t="s">
        <v>73</v>
      </c>
      <c r="M136" t="s">
        <v>73</v>
      </c>
      <c r="N136" t="s">
        <v>52</v>
      </c>
      <c r="O136" t="s">
        <v>53</v>
      </c>
      <c r="P136" t="s">
        <v>74</v>
      </c>
      <c r="Q136" t="s">
        <v>75</v>
      </c>
      <c r="R136" t="s">
        <v>76</v>
      </c>
      <c r="S136" t="s">
        <v>77</v>
      </c>
      <c r="T136" t="s">
        <v>58</v>
      </c>
      <c r="U136" t="s">
        <v>59</v>
      </c>
      <c r="V136" t="s">
        <v>59</v>
      </c>
      <c r="W136" t="s">
        <v>59</v>
      </c>
      <c r="X136" t="s">
        <v>59</v>
      </c>
      <c r="Y136" t="s">
        <v>59</v>
      </c>
      <c r="Z136" t="s">
        <v>59</v>
      </c>
      <c r="AA136" t="s">
        <v>59</v>
      </c>
      <c r="AB136" t="s">
        <v>59</v>
      </c>
      <c r="AC136" t="s">
        <v>59</v>
      </c>
      <c r="AD136" t="s">
        <v>80</v>
      </c>
      <c r="AE136" t="s">
        <v>61</v>
      </c>
      <c r="AF136" t="s">
        <v>62</v>
      </c>
      <c r="AG136" t="s">
        <v>63</v>
      </c>
      <c r="AH136" t="s">
        <v>63</v>
      </c>
      <c r="AI136" t="s">
        <v>63</v>
      </c>
      <c r="AJ136" t="s">
        <v>65</v>
      </c>
      <c r="AK136" t="s">
        <v>63</v>
      </c>
      <c r="AL136" t="s">
        <v>102</v>
      </c>
      <c r="AM136" t="s">
        <v>67</v>
      </c>
      <c r="AN136" t="s">
        <v>89</v>
      </c>
      <c r="AO136" t="s">
        <v>63</v>
      </c>
      <c r="AP136" t="s">
        <v>69</v>
      </c>
      <c r="AQ136" t="s">
        <v>63</v>
      </c>
      <c r="AR136" s="25">
        <v>8</v>
      </c>
      <c r="AS136" t="s">
        <v>335</v>
      </c>
    </row>
    <row r="137" spans="1:45" x14ac:dyDescent="0.3">
      <c r="A137">
        <v>136</v>
      </c>
      <c r="B137" s="24">
        <v>46218.402303240742</v>
      </c>
      <c r="C137" s="24">
        <v>46218.405057870368</v>
      </c>
      <c r="D137" t="s">
        <v>45</v>
      </c>
      <c r="F137" s="1"/>
      <c r="G137" t="s">
        <v>100</v>
      </c>
      <c r="H137" t="s">
        <v>112</v>
      </c>
      <c r="I137" t="s">
        <v>48</v>
      </c>
      <c r="J137" t="s">
        <v>71</v>
      </c>
      <c r="K137" t="s">
        <v>284</v>
      </c>
      <c r="L137" t="s">
        <v>73</v>
      </c>
      <c r="M137" t="s">
        <v>73</v>
      </c>
      <c r="N137" t="s">
        <v>52</v>
      </c>
      <c r="O137" t="s">
        <v>53</v>
      </c>
      <c r="P137" t="s">
        <v>54</v>
      </c>
      <c r="Q137" t="s">
        <v>75</v>
      </c>
      <c r="R137" t="s">
        <v>56</v>
      </c>
      <c r="S137" t="s">
        <v>57</v>
      </c>
      <c r="T137" t="s">
        <v>93</v>
      </c>
      <c r="U137" t="s">
        <v>59</v>
      </c>
      <c r="V137" t="s">
        <v>59</v>
      </c>
      <c r="W137" t="s">
        <v>59</v>
      </c>
      <c r="X137" t="s">
        <v>59</v>
      </c>
      <c r="Y137" t="s">
        <v>59</v>
      </c>
      <c r="Z137" t="s">
        <v>59</v>
      </c>
      <c r="AA137" t="s">
        <v>59</v>
      </c>
      <c r="AB137" t="s">
        <v>59</v>
      </c>
      <c r="AC137" t="s">
        <v>59</v>
      </c>
      <c r="AD137" t="s">
        <v>60</v>
      </c>
      <c r="AE137" t="s">
        <v>61</v>
      </c>
      <c r="AF137" t="s">
        <v>62</v>
      </c>
      <c r="AG137" t="s">
        <v>63</v>
      </c>
      <c r="AH137" t="s">
        <v>63</v>
      </c>
      <c r="AI137" t="s">
        <v>63</v>
      </c>
      <c r="AJ137" t="s">
        <v>65</v>
      </c>
      <c r="AK137" t="s">
        <v>63</v>
      </c>
      <c r="AL137" t="s">
        <v>120</v>
      </c>
      <c r="AM137" t="s">
        <v>67</v>
      </c>
      <c r="AN137" t="s">
        <v>68</v>
      </c>
      <c r="AO137" t="s">
        <v>63</v>
      </c>
      <c r="AP137" t="s">
        <v>69</v>
      </c>
      <c r="AQ137" t="s">
        <v>63</v>
      </c>
      <c r="AR137" s="25">
        <v>8</v>
      </c>
      <c r="AS137" t="s">
        <v>336</v>
      </c>
    </row>
    <row r="138" spans="1:45" x14ac:dyDescent="0.3">
      <c r="A138">
        <v>137</v>
      </c>
      <c r="B138" s="24">
        <v>46218.401701388888</v>
      </c>
      <c r="C138" s="24">
        <v>46218.405081018522</v>
      </c>
      <c r="D138" t="s">
        <v>45</v>
      </c>
      <c r="F138" s="1"/>
      <c r="G138" t="s">
        <v>100</v>
      </c>
      <c r="H138" t="s">
        <v>47</v>
      </c>
      <c r="I138" t="s">
        <v>84</v>
      </c>
      <c r="J138" t="s">
        <v>125</v>
      </c>
      <c r="K138" t="s">
        <v>337</v>
      </c>
      <c r="L138" t="s">
        <v>73</v>
      </c>
      <c r="M138" t="s">
        <v>73</v>
      </c>
      <c r="N138" t="s">
        <v>52</v>
      </c>
      <c r="O138" t="s">
        <v>228</v>
      </c>
      <c r="P138" t="s">
        <v>74</v>
      </c>
      <c r="Q138" t="s">
        <v>75</v>
      </c>
      <c r="R138" t="s">
        <v>76</v>
      </c>
      <c r="S138" t="s">
        <v>77</v>
      </c>
      <c r="T138" t="s">
        <v>93</v>
      </c>
      <c r="U138" t="s">
        <v>59</v>
      </c>
      <c r="V138" t="s">
        <v>79</v>
      </c>
      <c r="W138" t="s">
        <v>79</v>
      </c>
      <c r="X138" t="s">
        <v>79</v>
      </c>
      <c r="Y138" t="s">
        <v>59</v>
      </c>
      <c r="Z138" t="s">
        <v>59</v>
      </c>
      <c r="AA138" t="s">
        <v>59</v>
      </c>
      <c r="AB138" t="s">
        <v>59</v>
      </c>
      <c r="AC138" t="s">
        <v>59</v>
      </c>
      <c r="AD138" t="s">
        <v>60</v>
      </c>
      <c r="AE138" t="s">
        <v>61</v>
      </c>
      <c r="AF138" t="s">
        <v>119</v>
      </c>
      <c r="AG138" t="s">
        <v>63</v>
      </c>
      <c r="AH138" t="s">
        <v>63</v>
      </c>
      <c r="AI138" t="s">
        <v>63</v>
      </c>
      <c r="AJ138" t="s">
        <v>82</v>
      </c>
      <c r="AK138" t="s">
        <v>63</v>
      </c>
      <c r="AL138" t="s">
        <v>66</v>
      </c>
      <c r="AM138" t="s">
        <v>67</v>
      </c>
      <c r="AN138" t="s">
        <v>175</v>
      </c>
      <c r="AO138" t="s">
        <v>63</v>
      </c>
      <c r="AP138" t="s">
        <v>69</v>
      </c>
      <c r="AQ138" t="s">
        <v>63</v>
      </c>
      <c r="AR138" s="25">
        <v>9</v>
      </c>
      <c r="AS138" t="s">
        <v>338</v>
      </c>
    </row>
    <row r="139" spans="1:45" x14ac:dyDescent="0.3">
      <c r="A139">
        <v>138</v>
      </c>
      <c r="B139" s="24">
        <v>46218.403414351851</v>
      </c>
      <c r="C139" s="24">
        <v>46218.406099537038</v>
      </c>
      <c r="D139" t="s">
        <v>45</v>
      </c>
      <c r="F139" s="1"/>
      <c r="G139" t="s">
        <v>100</v>
      </c>
      <c r="H139" t="s">
        <v>91</v>
      </c>
      <c r="I139" t="s">
        <v>48</v>
      </c>
      <c r="J139" t="s">
        <v>186</v>
      </c>
      <c r="K139" t="s">
        <v>339</v>
      </c>
      <c r="L139" t="s">
        <v>51</v>
      </c>
      <c r="M139" t="s">
        <v>51</v>
      </c>
      <c r="N139" t="s">
        <v>52</v>
      </c>
      <c r="O139" t="s">
        <v>53</v>
      </c>
      <c r="P139" t="s">
        <v>74</v>
      </c>
      <c r="Q139" t="s">
        <v>75</v>
      </c>
      <c r="R139" t="s">
        <v>76</v>
      </c>
      <c r="S139" t="s">
        <v>77</v>
      </c>
      <c r="T139" t="s">
        <v>58</v>
      </c>
      <c r="U139" t="s">
        <v>79</v>
      </c>
      <c r="V139" t="s">
        <v>79</v>
      </c>
      <c r="W139" t="s">
        <v>59</v>
      </c>
      <c r="X139" t="s">
        <v>79</v>
      </c>
      <c r="Y139" t="s">
        <v>79</v>
      </c>
      <c r="Z139" t="s">
        <v>79</v>
      </c>
      <c r="AA139" t="s">
        <v>59</v>
      </c>
      <c r="AB139" t="s">
        <v>59</v>
      </c>
      <c r="AC139" t="s">
        <v>59</v>
      </c>
      <c r="AD139" t="s">
        <v>80</v>
      </c>
      <c r="AE139" t="s">
        <v>61</v>
      </c>
      <c r="AF139" t="s">
        <v>119</v>
      </c>
      <c r="AG139" t="s">
        <v>63</v>
      </c>
      <c r="AH139" t="s">
        <v>63</v>
      </c>
      <c r="AI139" t="s">
        <v>63</v>
      </c>
      <c r="AJ139" t="s">
        <v>65</v>
      </c>
      <c r="AK139" t="s">
        <v>63</v>
      </c>
      <c r="AL139" t="s">
        <v>120</v>
      </c>
      <c r="AM139" t="s">
        <v>67</v>
      </c>
      <c r="AN139" t="s">
        <v>89</v>
      </c>
      <c r="AO139" t="s">
        <v>63</v>
      </c>
      <c r="AP139" t="s">
        <v>98</v>
      </c>
      <c r="AQ139" t="s">
        <v>63</v>
      </c>
      <c r="AR139" s="25">
        <v>8</v>
      </c>
      <c r="AS139" t="s">
        <v>340</v>
      </c>
    </row>
    <row r="140" spans="1:45" x14ac:dyDescent="0.3">
      <c r="A140">
        <v>139</v>
      </c>
      <c r="B140" s="24">
        <v>46218.395914351851</v>
      </c>
      <c r="C140" s="24">
        <v>46218.406134259261</v>
      </c>
      <c r="D140" t="s">
        <v>45</v>
      </c>
      <c r="F140" s="1"/>
      <c r="G140" t="s">
        <v>100</v>
      </c>
      <c r="H140" t="s">
        <v>47</v>
      </c>
      <c r="I140" t="s">
        <v>133</v>
      </c>
      <c r="J140" t="s">
        <v>186</v>
      </c>
      <c r="K140" t="s">
        <v>341</v>
      </c>
      <c r="L140" t="s">
        <v>51</v>
      </c>
      <c r="M140" t="s">
        <v>51</v>
      </c>
      <c r="N140" t="s">
        <v>52</v>
      </c>
      <c r="O140" t="s">
        <v>53</v>
      </c>
      <c r="P140" t="s">
        <v>54</v>
      </c>
      <c r="Q140" t="s">
        <v>55</v>
      </c>
      <c r="R140" t="s">
        <v>56</v>
      </c>
      <c r="S140" t="s">
        <v>57</v>
      </c>
      <c r="T140" t="s">
        <v>58</v>
      </c>
      <c r="U140" t="s">
        <v>86</v>
      </c>
      <c r="V140" t="s">
        <v>86</v>
      </c>
      <c r="W140" t="s">
        <v>86</v>
      </c>
      <c r="X140" t="s">
        <v>86</v>
      </c>
      <c r="Y140" t="s">
        <v>86</v>
      </c>
      <c r="Z140" t="s">
        <v>86</v>
      </c>
      <c r="AA140" t="s">
        <v>87</v>
      </c>
      <c r="AB140" t="s">
        <v>86</v>
      </c>
      <c r="AC140" t="s">
        <v>86</v>
      </c>
      <c r="AD140" t="s">
        <v>60</v>
      </c>
      <c r="AE140" t="s">
        <v>61</v>
      </c>
      <c r="AF140" t="s">
        <v>62</v>
      </c>
      <c r="AG140" t="s">
        <v>81</v>
      </c>
      <c r="AH140" t="s">
        <v>81</v>
      </c>
      <c r="AI140" t="s">
        <v>81</v>
      </c>
      <c r="AJ140" t="s">
        <v>82</v>
      </c>
      <c r="AK140" t="s">
        <v>81</v>
      </c>
      <c r="AL140" t="s">
        <v>66</v>
      </c>
      <c r="AM140" t="s">
        <v>67</v>
      </c>
      <c r="AN140" t="s">
        <v>68</v>
      </c>
      <c r="AO140" t="s">
        <v>81</v>
      </c>
      <c r="AP140" t="s">
        <v>107</v>
      </c>
      <c r="AQ140" t="s">
        <v>81</v>
      </c>
      <c r="AR140" s="25">
        <v>10</v>
      </c>
      <c r="AS140" t="s">
        <v>342</v>
      </c>
    </row>
    <row r="141" spans="1:45" x14ac:dyDescent="0.3">
      <c r="A141">
        <v>140</v>
      </c>
      <c r="B141" s="24">
        <v>46218.404849537037</v>
      </c>
      <c r="C141" s="24">
        <v>46218.406921296293</v>
      </c>
      <c r="D141" t="s">
        <v>45</v>
      </c>
      <c r="F141" s="1"/>
      <c r="G141" t="s">
        <v>46</v>
      </c>
      <c r="H141" t="s">
        <v>47</v>
      </c>
      <c r="I141" t="s">
        <v>48</v>
      </c>
      <c r="J141" t="s">
        <v>71</v>
      </c>
      <c r="K141" t="s">
        <v>343</v>
      </c>
      <c r="L141" t="s">
        <v>73</v>
      </c>
      <c r="M141" t="s">
        <v>73</v>
      </c>
      <c r="N141" t="s">
        <v>52</v>
      </c>
      <c r="O141" t="s">
        <v>53</v>
      </c>
      <c r="P141" t="s">
        <v>54</v>
      </c>
      <c r="Q141" t="s">
        <v>75</v>
      </c>
      <c r="R141" t="s">
        <v>76</v>
      </c>
      <c r="S141" t="s">
        <v>77</v>
      </c>
      <c r="T141" t="s">
        <v>93</v>
      </c>
      <c r="U141" t="s">
        <v>87</v>
      </c>
      <c r="V141" t="s">
        <v>59</v>
      </c>
      <c r="W141" t="s">
        <v>59</v>
      </c>
      <c r="X141" t="s">
        <v>59</v>
      </c>
      <c r="Y141" t="s">
        <v>59</v>
      </c>
      <c r="Z141" t="s">
        <v>79</v>
      </c>
      <c r="AA141" t="s">
        <v>59</v>
      </c>
      <c r="AB141" t="s">
        <v>79</v>
      </c>
      <c r="AC141" t="s">
        <v>79</v>
      </c>
      <c r="AD141" t="s">
        <v>80</v>
      </c>
      <c r="AE141" t="s">
        <v>94</v>
      </c>
      <c r="AF141" t="s">
        <v>62</v>
      </c>
      <c r="AG141" t="s">
        <v>63</v>
      </c>
      <c r="AH141" t="s">
        <v>63</v>
      </c>
      <c r="AI141" t="s">
        <v>63</v>
      </c>
      <c r="AJ141" t="s">
        <v>65</v>
      </c>
      <c r="AK141" t="s">
        <v>64</v>
      </c>
      <c r="AL141" t="s">
        <v>66</v>
      </c>
      <c r="AM141" t="s">
        <v>67</v>
      </c>
      <c r="AN141" t="s">
        <v>175</v>
      </c>
      <c r="AO141" t="s">
        <v>63</v>
      </c>
      <c r="AP141" t="s">
        <v>69</v>
      </c>
      <c r="AQ141" t="s">
        <v>63</v>
      </c>
      <c r="AR141" s="25">
        <v>8</v>
      </c>
      <c r="AS141" t="s">
        <v>325</v>
      </c>
    </row>
    <row r="142" spans="1:45" x14ac:dyDescent="0.3">
      <c r="A142">
        <v>141</v>
      </c>
      <c r="B142" s="24">
        <v>46218.40520833333</v>
      </c>
      <c r="C142" s="24">
        <v>46218.407233796293</v>
      </c>
      <c r="D142" t="s">
        <v>45</v>
      </c>
      <c r="F142" s="1"/>
      <c r="G142" t="s">
        <v>46</v>
      </c>
      <c r="H142" t="s">
        <v>47</v>
      </c>
      <c r="I142" t="s">
        <v>101</v>
      </c>
      <c r="J142" t="s">
        <v>186</v>
      </c>
      <c r="K142" t="s">
        <v>109</v>
      </c>
      <c r="L142" t="s">
        <v>73</v>
      </c>
      <c r="M142" t="s">
        <v>73</v>
      </c>
      <c r="N142" t="s">
        <v>52</v>
      </c>
      <c r="O142" t="s">
        <v>53</v>
      </c>
      <c r="P142" t="s">
        <v>74</v>
      </c>
      <c r="Q142" t="s">
        <v>75</v>
      </c>
      <c r="R142" t="s">
        <v>76</v>
      </c>
      <c r="S142" t="s">
        <v>77</v>
      </c>
      <c r="T142" t="s">
        <v>58</v>
      </c>
      <c r="U142" t="s">
        <v>59</v>
      </c>
      <c r="V142" t="s">
        <v>59</v>
      </c>
      <c r="W142" t="s">
        <v>59</v>
      </c>
      <c r="X142" t="s">
        <v>59</v>
      </c>
      <c r="Y142" t="s">
        <v>59</v>
      </c>
      <c r="Z142" t="s">
        <v>59</v>
      </c>
      <c r="AA142" t="s">
        <v>59</v>
      </c>
      <c r="AB142" t="s">
        <v>59</v>
      </c>
      <c r="AC142" t="s">
        <v>59</v>
      </c>
      <c r="AD142" t="s">
        <v>80</v>
      </c>
      <c r="AE142" t="s">
        <v>61</v>
      </c>
      <c r="AF142" t="s">
        <v>62</v>
      </c>
      <c r="AG142" t="s">
        <v>63</v>
      </c>
      <c r="AH142" t="s">
        <v>63</v>
      </c>
      <c r="AI142" t="s">
        <v>63</v>
      </c>
      <c r="AJ142" t="s">
        <v>65</v>
      </c>
      <c r="AK142" t="s">
        <v>63</v>
      </c>
      <c r="AL142" t="s">
        <v>102</v>
      </c>
      <c r="AM142" t="s">
        <v>67</v>
      </c>
      <c r="AN142" t="s">
        <v>89</v>
      </c>
      <c r="AO142" t="s">
        <v>63</v>
      </c>
      <c r="AP142" t="s">
        <v>69</v>
      </c>
      <c r="AQ142" t="s">
        <v>63</v>
      </c>
      <c r="AR142" s="25">
        <v>8</v>
      </c>
      <c r="AS142" t="s">
        <v>325</v>
      </c>
    </row>
    <row r="143" spans="1:45" x14ac:dyDescent="0.3">
      <c r="A143">
        <v>142</v>
      </c>
      <c r="B143" s="24">
        <v>46218.405277777776</v>
      </c>
      <c r="C143" s="24">
        <v>46218.408113425925</v>
      </c>
      <c r="D143" t="s">
        <v>45</v>
      </c>
      <c r="F143" s="1"/>
      <c r="G143" t="s">
        <v>100</v>
      </c>
      <c r="H143" t="s">
        <v>47</v>
      </c>
      <c r="I143" t="s">
        <v>48</v>
      </c>
      <c r="J143" t="s">
        <v>186</v>
      </c>
      <c r="K143" t="s">
        <v>50</v>
      </c>
      <c r="L143" t="s">
        <v>73</v>
      </c>
      <c r="M143" t="s">
        <v>73</v>
      </c>
      <c r="N143" t="s">
        <v>52</v>
      </c>
      <c r="O143" t="s">
        <v>228</v>
      </c>
      <c r="P143" t="s">
        <v>74</v>
      </c>
      <c r="Q143" t="s">
        <v>75</v>
      </c>
      <c r="R143" t="s">
        <v>56</v>
      </c>
      <c r="S143" t="s">
        <v>77</v>
      </c>
      <c r="T143" t="s">
        <v>58</v>
      </c>
      <c r="U143" t="s">
        <v>59</v>
      </c>
      <c r="V143" t="s">
        <v>59</v>
      </c>
      <c r="W143" t="s">
        <v>59</v>
      </c>
      <c r="X143" t="s">
        <v>59</v>
      </c>
      <c r="Y143" t="s">
        <v>59</v>
      </c>
      <c r="Z143" t="s">
        <v>59</v>
      </c>
      <c r="AA143" t="s">
        <v>59</v>
      </c>
      <c r="AB143" t="s">
        <v>59</v>
      </c>
      <c r="AC143" t="s">
        <v>59</v>
      </c>
      <c r="AD143" t="s">
        <v>60</v>
      </c>
      <c r="AE143" t="s">
        <v>94</v>
      </c>
      <c r="AF143" t="s">
        <v>62</v>
      </c>
      <c r="AG143" t="s">
        <v>63</v>
      </c>
      <c r="AH143" t="s">
        <v>63</v>
      </c>
      <c r="AI143" t="s">
        <v>63</v>
      </c>
      <c r="AJ143" t="s">
        <v>82</v>
      </c>
      <c r="AK143" t="s">
        <v>63</v>
      </c>
      <c r="AL143" t="s">
        <v>102</v>
      </c>
      <c r="AM143" t="s">
        <v>67</v>
      </c>
      <c r="AN143" t="s">
        <v>89</v>
      </c>
      <c r="AO143" t="s">
        <v>63</v>
      </c>
      <c r="AP143" t="s">
        <v>69</v>
      </c>
      <c r="AQ143" t="s">
        <v>63</v>
      </c>
      <c r="AR143" s="25">
        <v>9</v>
      </c>
      <c r="AS143" t="s">
        <v>95</v>
      </c>
    </row>
    <row r="144" spans="1:45" x14ac:dyDescent="0.3">
      <c r="A144">
        <v>143</v>
      </c>
      <c r="B144" s="24">
        <v>46218.407141203701</v>
      </c>
      <c r="C144" s="24">
        <v>46218.408680555556</v>
      </c>
      <c r="D144" t="s">
        <v>45</v>
      </c>
      <c r="F144" s="1"/>
      <c r="G144" t="s">
        <v>46</v>
      </c>
      <c r="H144" t="s">
        <v>47</v>
      </c>
      <c r="I144" t="s">
        <v>48</v>
      </c>
      <c r="J144" t="s">
        <v>162</v>
      </c>
      <c r="K144" t="s">
        <v>134</v>
      </c>
      <c r="L144" t="s">
        <v>51</v>
      </c>
      <c r="M144" t="s">
        <v>51</v>
      </c>
      <c r="N144" t="s">
        <v>116</v>
      </c>
      <c r="O144" t="s">
        <v>53</v>
      </c>
      <c r="P144" t="s">
        <v>74</v>
      </c>
      <c r="Q144" t="s">
        <v>75</v>
      </c>
      <c r="R144" t="s">
        <v>76</v>
      </c>
      <c r="S144" t="s">
        <v>57</v>
      </c>
      <c r="T144" t="s">
        <v>93</v>
      </c>
      <c r="U144" t="s">
        <v>87</v>
      </c>
      <c r="V144" t="s">
        <v>59</v>
      </c>
      <c r="W144" t="s">
        <v>59</v>
      </c>
      <c r="X144" t="s">
        <v>79</v>
      </c>
      <c r="Y144" t="s">
        <v>79</v>
      </c>
      <c r="Z144" t="s">
        <v>79</v>
      </c>
      <c r="AA144" t="s">
        <v>79</v>
      </c>
      <c r="AB144" t="s">
        <v>59</v>
      </c>
      <c r="AC144" t="s">
        <v>59</v>
      </c>
      <c r="AD144" t="s">
        <v>80</v>
      </c>
      <c r="AE144" t="s">
        <v>94</v>
      </c>
      <c r="AF144" t="s">
        <v>119</v>
      </c>
      <c r="AG144" t="s">
        <v>63</v>
      </c>
      <c r="AH144" t="s">
        <v>64</v>
      </c>
      <c r="AI144" t="s">
        <v>64</v>
      </c>
      <c r="AJ144" t="s">
        <v>65</v>
      </c>
      <c r="AK144" t="s">
        <v>63</v>
      </c>
      <c r="AL144" t="s">
        <v>66</v>
      </c>
      <c r="AM144" t="s">
        <v>67</v>
      </c>
      <c r="AN144" t="s">
        <v>89</v>
      </c>
      <c r="AO144" t="s">
        <v>64</v>
      </c>
      <c r="AP144" t="s">
        <v>107</v>
      </c>
      <c r="AQ144" t="s">
        <v>63</v>
      </c>
      <c r="AR144" s="25">
        <v>9</v>
      </c>
      <c r="AS144" t="s">
        <v>344</v>
      </c>
    </row>
    <row r="145" spans="1:45" x14ac:dyDescent="0.3">
      <c r="A145">
        <v>144</v>
      </c>
      <c r="B145" s="24">
        <v>46218.405347222222</v>
      </c>
      <c r="C145" s="24">
        <v>46218.408888888887</v>
      </c>
      <c r="D145" t="s">
        <v>45</v>
      </c>
      <c r="F145" s="1"/>
      <c r="G145" t="s">
        <v>46</v>
      </c>
      <c r="H145" t="s">
        <v>47</v>
      </c>
      <c r="I145" t="s">
        <v>101</v>
      </c>
      <c r="J145" t="s">
        <v>71</v>
      </c>
      <c r="K145" t="s">
        <v>345</v>
      </c>
      <c r="L145" t="s">
        <v>73</v>
      </c>
      <c r="M145" t="s">
        <v>73</v>
      </c>
      <c r="N145" t="s">
        <v>52</v>
      </c>
      <c r="O145" t="s">
        <v>53</v>
      </c>
      <c r="P145" t="s">
        <v>74</v>
      </c>
      <c r="Q145" t="s">
        <v>75</v>
      </c>
      <c r="R145" t="s">
        <v>76</v>
      </c>
      <c r="S145" t="s">
        <v>77</v>
      </c>
      <c r="T145" t="s">
        <v>78</v>
      </c>
      <c r="U145" t="s">
        <v>59</v>
      </c>
      <c r="V145" t="s">
        <v>59</v>
      </c>
      <c r="W145" t="s">
        <v>59</v>
      </c>
      <c r="X145" t="s">
        <v>79</v>
      </c>
      <c r="Y145" t="s">
        <v>59</v>
      </c>
      <c r="Z145" t="s">
        <v>59</v>
      </c>
      <c r="AA145" t="s">
        <v>79</v>
      </c>
      <c r="AB145" t="s">
        <v>79</v>
      </c>
      <c r="AC145" t="s">
        <v>79</v>
      </c>
      <c r="AD145" t="s">
        <v>80</v>
      </c>
      <c r="AE145" t="s">
        <v>61</v>
      </c>
      <c r="AF145" t="s">
        <v>62</v>
      </c>
      <c r="AG145" t="s">
        <v>63</v>
      </c>
      <c r="AH145" t="s">
        <v>63</v>
      </c>
      <c r="AI145" t="s">
        <v>63</v>
      </c>
      <c r="AJ145" t="s">
        <v>82</v>
      </c>
      <c r="AK145" t="s">
        <v>63</v>
      </c>
      <c r="AL145" t="s">
        <v>66</v>
      </c>
      <c r="AM145" t="s">
        <v>121</v>
      </c>
      <c r="AN145" t="s">
        <v>89</v>
      </c>
      <c r="AO145" t="s">
        <v>63</v>
      </c>
      <c r="AP145" t="s">
        <v>98</v>
      </c>
      <c r="AQ145" t="s">
        <v>63</v>
      </c>
      <c r="AR145" s="25">
        <v>9</v>
      </c>
      <c r="AS145" t="s">
        <v>346</v>
      </c>
    </row>
    <row r="146" spans="1:45" x14ac:dyDescent="0.3">
      <c r="A146">
        <v>145</v>
      </c>
      <c r="B146" s="24">
        <v>46218.406701388885</v>
      </c>
      <c r="C146" s="24">
        <v>46218.409398148149</v>
      </c>
      <c r="D146" t="s">
        <v>45</v>
      </c>
      <c r="F146" s="1"/>
      <c r="G146" t="s">
        <v>100</v>
      </c>
      <c r="H146" t="s">
        <v>47</v>
      </c>
      <c r="I146" t="s">
        <v>48</v>
      </c>
      <c r="J146" t="s">
        <v>186</v>
      </c>
      <c r="K146" t="s">
        <v>240</v>
      </c>
      <c r="L146" t="s">
        <v>73</v>
      </c>
      <c r="M146" t="s">
        <v>73</v>
      </c>
      <c r="N146" t="s">
        <v>52</v>
      </c>
      <c r="O146" t="s">
        <v>53</v>
      </c>
      <c r="P146" t="s">
        <v>74</v>
      </c>
      <c r="Q146" t="s">
        <v>75</v>
      </c>
      <c r="R146" t="s">
        <v>76</v>
      </c>
      <c r="S146" t="s">
        <v>77</v>
      </c>
      <c r="T146" t="s">
        <v>58</v>
      </c>
      <c r="U146" t="s">
        <v>59</v>
      </c>
      <c r="V146" t="s">
        <v>59</v>
      </c>
      <c r="W146" t="s">
        <v>59</v>
      </c>
      <c r="X146" t="s">
        <v>59</v>
      </c>
      <c r="Y146" t="s">
        <v>59</v>
      </c>
      <c r="Z146" t="s">
        <v>59</v>
      </c>
      <c r="AA146" t="s">
        <v>59</v>
      </c>
      <c r="AB146" t="s">
        <v>59</v>
      </c>
      <c r="AC146" t="s">
        <v>59</v>
      </c>
      <c r="AD146" t="s">
        <v>60</v>
      </c>
      <c r="AE146" t="s">
        <v>61</v>
      </c>
      <c r="AF146" t="s">
        <v>62</v>
      </c>
      <c r="AG146" t="s">
        <v>63</v>
      </c>
      <c r="AH146" t="s">
        <v>63</v>
      </c>
      <c r="AI146" t="s">
        <v>63</v>
      </c>
      <c r="AJ146" t="s">
        <v>65</v>
      </c>
      <c r="AK146" t="s">
        <v>63</v>
      </c>
      <c r="AL146" t="s">
        <v>66</v>
      </c>
      <c r="AM146" t="s">
        <v>67</v>
      </c>
      <c r="AN146" t="s">
        <v>68</v>
      </c>
      <c r="AO146" t="s">
        <v>63</v>
      </c>
      <c r="AP146" t="s">
        <v>98</v>
      </c>
      <c r="AQ146" t="s">
        <v>63</v>
      </c>
      <c r="AR146" s="25">
        <v>8</v>
      </c>
      <c r="AS146" t="s">
        <v>347</v>
      </c>
    </row>
    <row r="147" spans="1:45" x14ac:dyDescent="0.3">
      <c r="A147">
        <v>146</v>
      </c>
      <c r="B147" s="24">
        <v>46218.407187500001</v>
      </c>
      <c r="C147" s="24">
        <v>46218.410150462965</v>
      </c>
      <c r="D147" t="s">
        <v>45</v>
      </c>
      <c r="F147" s="1"/>
      <c r="G147" t="s">
        <v>100</v>
      </c>
      <c r="H147" t="s">
        <v>91</v>
      </c>
      <c r="I147" t="s">
        <v>48</v>
      </c>
      <c r="J147" t="s">
        <v>104</v>
      </c>
      <c r="K147" t="s">
        <v>277</v>
      </c>
      <c r="L147" t="s">
        <v>73</v>
      </c>
      <c r="M147" t="s">
        <v>73</v>
      </c>
      <c r="N147" t="s">
        <v>52</v>
      </c>
      <c r="O147" t="s">
        <v>53</v>
      </c>
      <c r="P147" t="s">
        <v>54</v>
      </c>
      <c r="Q147" t="s">
        <v>55</v>
      </c>
      <c r="R147" t="s">
        <v>76</v>
      </c>
      <c r="S147" t="s">
        <v>57</v>
      </c>
      <c r="T147" t="s">
        <v>58</v>
      </c>
      <c r="U147" t="s">
        <v>59</v>
      </c>
      <c r="V147" t="s">
        <v>79</v>
      </c>
      <c r="W147" t="s">
        <v>59</v>
      </c>
      <c r="X147" t="s">
        <v>79</v>
      </c>
      <c r="Y147" t="s">
        <v>59</v>
      </c>
      <c r="Z147" t="s">
        <v>79</v>
      </c>
      <c r="AA147" t="s">
        <v>59</v>
      </c>
      <c r="AB147" t="s">
        <v>59</v>
      </c>
      <c r="AC147" t="s">
        <v>79</v>
      </c>
      <c r="AD147" t="s">
        <v>60</v>
      </c>
      <c r="AE147" t="s">
        <v>61</v>
      </c>
      <c r="AF147" t="s">
        <v>119</v>
      </c>
      <c r="AG147" t="s">
        <v>63</v>
      </c>
      <c r="AH147" t="s">
        <v>63</v>
      </c>
      <c r="AI147" t="s">
        <v>64</v>
      </c>
      <c r="AJ147" t="s">
        <v>65</v>
      </c>
      <c r="AK147" t="s">
        <v>63</v>
      </c>
      <c r="AL147" t="s">
        <v>120</v>
      </c>
      <c r="AM147" t="s">
        <v>67</v>
      </c>
      <c r="AN147" t="s">
        <v>89</v>
      </c>
      <c r="AO147" t="s">
        <v>63</v>
      </c>
      <c r="AP147" t="s">
        <v>98</v>
      </c>
      <c r="AQ147" t="s">
        <v>63</v>
      </c>
      <c r="AR147" s="25">
        <v>9</v>
      </c>
      <c r="AS147" t="s">
        <v>348</v>
      </c>
    </row>
    <row r="148" spans="1:45" x14ac:dyDescent="0.3">
      <c r="A148">
        <v>147</v>
      </c>
      <c r="B148" s="24">
        <v>46218.408773148149</v>
      </c>
      <c r="C148" s="24">
        <v>46218.410312499997</v>
      </c>
      <c r="D148" t="s">
        <v>45</v>
      </c>
      <c r="F148" s="1"/>
      <c r="G148" t="s">
        <v>100</v>
      </c>
      <c r="H148" t="s">
        <v>91</v>
      </c>
      <c r="I148" t="s">
        <v>48</v>
      </c>
      <c r="J148" t="s">
        <v>49</v>
      </c>
      <c r="K148" t="s">
        <v>105</v>
      </c>
      <c r="L148" t="s">
        <v>51</v>
      </c>
      <c r="M148" t="s">
        <v>51</v>
      </c>
      <c r="N148" t="s">
        <v>116</v>
      </c>
      <c r="O148" t="s">
        <v>53</v>
      </c>
      <c r="P148" t="s">
        <v>74</v>
      </c>
      <c r="Q148" t="s">
        <v>75</v>
      </c>
      <c r="R148" t="s">
        <v>76</v>
      </c>
      <c r="S148" t="s">
        <v>77</v>
      </c>
      <c r="T148" t="s">
        <v>93</v>
      </c>
      <c r="U148" t="s">
        <v>59</v>
      </c>
      <c r="V148" t="s">
        <v>59</v>
      </c>
      <c r="W148" t="s">
        <v>79</v>
      </c>
      <c r="X148" t="s">
        <v>79</v>
      </c>
      <c r="Y148" t="s">
        <v>79</v>
      </c>
      <c r="Z148" t="s">
        <v>79</v>
      </c>
      <c r="AA148" t="s">
        <v>59</v>
      </c>
      <c r="AB148" t="s">
        <v>59</v>
      </c>
      <c r="AC148" t="s">
        <v>59</v>
      </c>
      <c r="AD148" t="s">
        <v>80</v>
      </c>
      <c r="AE148" t="s">
        <v>94</v>
      </c>
      <c r="AF148" t="s">
        <v>119</v>
      </c>
      <c r="AG148" t="s">
        <v>81</v>
      </c>
      <c r="AH148" t="s">
        <v>63</v>
      </c>
      <c r="AI148" t="s">
        <v>63</v>
      </c>
      <c r="AJ148" t="s">
        <v>65</v>
      </c>
      <c r="AK148" t="s">
        <v>64</v>
      </c>
      <c r="AL148" t="s">
        <v>66</v>
      </c>
      <c r="AM148" t="s">
        <v>67</v>
      </c>
      <c r="AN148" t="s">
        <v>68</v>
      </c>
      <c r="AO148" t="s">
        <v>64</v>
      </c>
      <c r="AP148" t="s">
        <v>110</v>
      </c>
      <c r="AQ148" t="s">
        <v>64</v>
      </c>
      <c r="AR148" s="25">
        <v>9</v>
      </c>
      <c r="AS148" t="s">
        <v>349</v>
      </c>
    </row>
    <row r="149" spans="1:45" x14ac:dyDescent="0.3">
      <c r="A149">
        <v>148</v>
      </c>
      <c r="B149" s="24">
        <v>46218.400289351855</v>
      </c>
      <c r="C149" s="24">
        <v>46218.41065972222</v>
      </c>
      <c r="D149" t="s">
        <v>45</v>
      </c>
      <c r="F149" s="1"/>
      <c r="G149" t="s">
        <v>46</v>
      </c>
      <c r="H149" t="s">
        <v>47</v>
      </c>
      <c r="I149" t="s">
        <v>101</v>
      </c>
      <c r="J149" t="s">
        <v>49</v>
      </c>
      <c r="K149" t="s">
        <v>350</v>
      </c>
      <c r="L149" t="s">
        <v>51</v>
      </c>
      <c r="M149" t="s">
        <v>51</v>
      </c>
      <c r="N149" t="s">
        <v>116</v>
      </c>
      <c r="O149" t="s">
        <v>53</v>
      </c>
      <c r="P149" t="s">
        <v>54</v>
      </c>
      <c r="Q149" t="s">
        <v>55</v>
      </c>
      <c r="R149" t="s">
        <v>76</v>
      </c>
      <c r="S149" t="s">
        <v>77</v>
      </c>
      <c r="T149" t="s">
        <v>58</v>
      </c>
      <c r="U149" t="s">
        <v>87</v>
      </c>
      <c r="V149" t="s">
        <v>59</v>
      </c>
      <c r="W149" t="s">
        <v>86</v>
      </c>
      <c r="X149" t="s">
        <v>87</v>
      </c>
      <c r="Y149" t="s">
        <v>86</v>
      </c>
      <c r="Z149" t="s">
        <v>87</v>
      </c>
      <c r="AA149" t="s">
        <v>87</v>
      </c>
      <c r="AB149" t="s">
        <v>79</v>
      </c>
      <c r="AC149" t="s">
        <v>59</v>
      </c>
      <c r="AD149" t="s">
        <v>60</v>
      </c>
      <c r="AE149" t="s">
        <v>94</v>
      </c>
      <c r="AF149" t="s">
        <v>147</v>
      </c>
      <c r="AG149" t="s">
        <v>81</v>
      </c>
      <c r="AH149" t="s">
        <v>63</v>
      </c>
      <c r="AI149" t="s">
        <v>63</v>
      </c>
      <c r="AJ149" t="s">
        <v>65</v>
      </c>
      <c r="AK149" t="s">
        <v>137</v>
      </c>
      <c r="AL149" t="s">
        <v>137</v>
      </c>
      <c r="AM149" t="s">
        <v>137</v>
      </c>
      <c r="AN149" t="s">
        <v>68</v>
      </c>
      <c r="AO149" t="s">
        <v>137</v>
      </c>
      <c r="AP149" t="s">
        <v>107</v>
      </c>
      <c r="AQ149" t="s">
        <v>137</v>
      </c>
      <c r="AR149" s="25">
        <v>8</v>
      </c>
      <c r="AS149" s="3" t="s">
        <v>108</v>
      </c>
    </row>
    <row r="150" spans="1:45" x14ac:dyDescent="0.3">
      <c r="A150">
        <v>149</v>
      </c>
      <c r="B150" s="24">
        <v>46218.410497685189</v>
      </c>
      <c r="C150" s="24">
        <v>46218.411805555559</v>
      </c>
      <c r="D150" t="s">
        <v>45</v>
      </c>
      <c r="F150" s="1"/>
      <c r="G150" t="s">
        <v>100</v>
      </c>
      <c r="H150" t="s">
        <v>91</v>
      </c>
      <c r="I150" t="s">
        <v>84</v>
      </c>
      <c r="J150" t="s">
        <v>186</v>
      </c>
      <c r="K150" t="s">
        <v>244</v>
      </c>
      <c r="L150" t="s">
        <v>51</v>
      </c>
      <c r="M150" t="s">
        <v>51</v>
      </c>
      <c r="N150" t="s">
        <v>52</v>
      </c>
      <c r="O150" t="s">
        <v>53</v>
      </c>
      <c r="P150" t="s">
        <v>54</v>
      </c>
      <c r="Q150" t="s">
        <v>75</v>
      </c>
      <c r="R150" t="s">
        <v>56</v>
      </c>
      <c r="S150" t="s">
        <v>77</v>
      </c>
      <c r="T150" t="s">
        <v>58</v>
      </c>
      <c r="U150" t="s">
        <v>59</v>
      </c>
      <c r="V150" t="s">
        <v>79</v>
      </c>
      <c r="W150" t="s">
        <v>59</v>
      </c>
      <c r="X150" t="s">
        <v>59</v>
      </c>
      <c r="Y150" t="s">
        <v>59</v>
      </c>
      <c r="Z150" t="s">
        <v>59</v>
      </c>
      <c r="AA150" t="s">
        <v>59</v>
      </c>
      <c r="AB150" t="s">
        <v>79</v>
      </c>
      <c r="AC150" t="s">
        <v>79</v>
      </c>
      <c r="AD150" t="s">
        <v>80</v>
      </c>
      <c r="AE150" t="s">
        <v>94</v>
      </c>
      <c r="AF150" t="s">
        <v>119</v>
      </c>
      <c r="AG150" t="s">
        <v>64</v>
      </c>
      <c r="AH150" t="s">
        <v>64</v>
      </c>
      <c r="AI150" t="s">
        <v>63</v>
      </c>
      <c r="AJ150" t="s">
        <v>82</v>
      </c>
      <c r="AK150" t="s">
        <v>63</v>
      </c>
      <c r="AL150" t="s">
        <v>66</v>
      </c>
      <c r="AM150" t="s">
        <v>67</v>
      </c>
      <c r="AN150" t="s">
        <v>175</v>
      </c>
      <c r="AO150" t="s">
        <v>63</v>
      </c>
      <c r="AP150" t="s">
        <v>69</v>
      </c>
      <c r="AQ150" t="s">
        <v>63</v>
      </c>
      <c r="AR150" s="25">
        <v>9</v>
      </c>
      <c r="AS150" t="s">
        <v>351</v>
      </c>
    </row>
    <row r="151" spans="1:45" x14ac:dyDescent="0.3">
      <c r="A151">
        <v>150</v>
      </c>
      <c r="B151" s="24">
        <v>46218.409594907411</v>
      </c>
      <c r="C151" s="24">
        <v>46218.412210648145</v>
      </c>
      <c r="D151" t="s">
        <v>45</v>
      </c>
      <c r="F151" s="1"/>
      <c r="G151" t="s">
        <v>46</v>
      </c>
      <c r="H151" t="s">
        <v>47</v>
      </c>
      <c r="I151" t="s">
        <v>48</v>
      </c>
      <c r="J151" t="s">
        <v>104</v>
      </c>
      <c r="K151" t="s">
        <v>109</v>
      </c>
      <c r="L151" t="s">
        <v>51</v>
      </c>
      <c r="M151" t="s">
        <v>51</v>
      </c>
      <c r="N151" t="s">
        <v>116</v>
      </c>
      <c r="O151" t="s">
        <v>53</v>
      </c>
      <c r="P151" t="s">
        <v>74</v>
      </c>
      <c r="Q151" t="s">
        <v>75</v>
      </c>
      <c r="R151" t="s">
        <v>76</v>
      </c>
      <c r="S151" t="s">
        <v>77</v>
      </c>
      <c r="T151" t="s">
        <v>58</v>
      </c>
      <c r="U151" t="s">
        <v>59</v>
      </c>
      <c r="V151" t="s">
        <v>59</v>
      </c>
      <c r="W151" t="s">
        <v>59</v>
      </c>
      <c r="X151" t="s">
        <v>59</v>
      </c>
      <c r="Y151" t="s">
        <v>59</v>
      </c>
      <c r="Z151" t="s">
        <v>59</v>
      </c>
      <c r="AA151" t="s">
        <v>59</v>
      </c>
      <c r="AB151" t="s">
        <v>59</v>
      </c>
      <c r="AC151" t="s">
        <v>59</v>
      </c>
      <c r="AD151" t="s">
        <v>60</v>
      </c>
      <c r="AE151" t="s">
        <v>61</v>
      </c>
      <c r="AF151" t="s">
        <v>62</v>
      </c>
      <c r="AG151" t="s">
        <v>63</v>
      </c>
      <c r="AH151" t="s">
        <v>63</v>
      </c>
      <c r="AI151" t="s">
        <v>63</v>
      </c>
      <c r="AJ151" t="s">
        <v>65</v>
      </c>
      <c r="AK151" t="s">
        <v>63</v>
      </c>
      <c r="AL151" t="s">
        <v>66</v>
      </c>
      <c r="AM151" t="s">
        <v>67</v>
      </c>
      <c r="AN151" t="s">
        <v>68</v>
      </c>
      <c r="AO151" t="s">
        <v>63</v>
      </c>
      <c r="AP151" t="s">
        <v>69</v>
      </c>
      <c r="AQ151" t="s">
        <v>63</v>
      </c>
      <c r="AR151" s="25">
        <v>9</v>
      </c>
      <c r="AS151" t="s">
        <v>352</v>
      </c>
    </row>
    <row r="152" spans="1:45" x14ac:dyDescent="0.3">
      <c r="A152">
        <v>151</v>
      </c>
      <c r="B152" s="24">
        <v>46218.411956018521</v>
      </c>
      <c r="C152" s="24">
        <v>46218.412962962961</v>
      </c>
      <c r="D152" t="s">
        <v>45</v>
      </c>
      <c r="F152" s="1"/>
      <c r="G152" t="s">
        <v>46</v>
      </c>
      <c r="H152" t="s">
        <v>47</v>
      </c>
      <c r="I152" t="s">
        <v>48</v>
      </c>
      <c r="J152" t="s">
        <v>104</v>
      </c>
      <c r="K152" t="s">
        <v>353</v>
      </c>
      <c r="L152" t="s">
        <v>73</v>
      </c>
      <c r="M152" t="s">
        <v>51</v>
      </c>
      <c r="N152" t="s">
        <v>116</v>
      </c>
      <c r="O152" t="s">
        <v>53</v>
      </c>
      <c r="P152" t="s">
        <v>74</v>
      </c>
      <c r="Q152" t="s">
        <v>75</v>
      </c>
      <c r="R152" t="s">
        <v>56</v>
      </c>
      <c r="S152" t="s">
        <v>57</v>
      </c>
      <c r="T152" t="s">
        <v>93</v>
      </c>
      <c r="U152" t="s">
        <v>59</v>
      </c>
      <c r="V152" t="s">
        <v>79</v>
      </c>
      <c r="W152" t="s">
        <v>59</v>
      </c>
      <c r="X152" t="s">
        <v>79</v>
      </c>
      <c r="Y152" t="s">
        <v>79</v>
      </c>
      <c r="Z152" t="s">
        <v>79</v>
      </c>
      <c r="AA152" t="s">
        <v>59</v>
      </c>
      <c r="AB152" t="s">
        <v>59</v>
      </c>
      <c r="AC152" t="s">
        <v>59</v>
      </c>
      <c r="AD152" t="s">
        <v>60</v>
      </c>
      <c r="AE152" t="s">
        <v>94</v>
      </c>
      <c r="AF152" t="s">
        <v>119</v>
      </c>
      <c r="AG152" t="s">
        <v>64</v>
      </c>
      <c r="AH152" t="s">
        <v>63</v>
      </c>
      <c r="AI152" t="s">
        <v>63</v>
      </c>
      <c r="AJ152" t="s">
        <v>82</v>
      </c>
      <c r="AK152" t="s">
        <v>64</v>
      </c>
      <c r="AL152" t="s">
        <v>66</v>
      </c>
      <c r="AM152" t="s">
        <v>67</v>
      </c>
      <c r="AN152" t="s">
        <v>89</v>
      </c>
      <c r="AO152" t="s">
        <v>64</v>
      </c>
      <c r="AP152" t="s">
        <v>69</v>
      </c>
      <c r="AQ152" t="s">
        <v>63</v>
      </c>
      <c r="AR152" s="25">
        <v>10</v>
      </c>
      <c r="AS152" t="s">
        <v>354</v>
      </c>
    </row>
    <row r="153" spans="1:45" x14ac:dyDescent="0.3">
      <c r="A153">
        <v>152</v>
      </c>
      <c r="B153" s="24">
        <v>46218.406828703701</v>
      </c>
      <c r="C153" s="24">
        <v>46218.413148148145</v>
      </c>
      <c r="D153" t="s">
        <v>45</v>
      </c>
      <c r="F153" s="1"/>
      <c r="G153" t="s">
        <v>46</v>
      </c>
      <c r="H153" t="s">
        <v>91</v>
      </c>
      <c r="I153" t="s">
        <v>101</v>
      </c>
      <c r="J153" t="s">
        <v>162</v>
      </c>
      <c r="K153" t="s">
        <v>128</v>
      </c>
      <c r="L153" t="s">
        <v>73</v>
      </c>
      <c r="M153" t="s">
        <v>73</v>
      </c>
      <c r="N153" t="s">
        <v>52</v>
      </c>
      <c r="O153" t="s">
        <v>53</v>
      </c>
      <c r="P153" t="s">
        <v>74</v>
      </c>
      <c r="Q153" t="s">
        <v>75</v>
      </c>
      <c r="R153" t="s">
        <v>76</v>
      </c>
      <c r="S153" t="s">
        <v>77</v>
      </c>
      <c r="T153" t="s">
        <v>58</v>
      </c>
      <c r="U153" t="s">
        <v>59</v>
      </c>
      <c r="V153" t="s">
        <v>87</v>
      </c>
      <c r="W153" t="s">
        <v>79</v>
      </c>
      <c r="X153" t="s">
        <v>79</v>
      </c>
      <c r="Y153" t="s">
        <v>59</v>
      </c>
      <c r="Z153" t="s">
        <v>59</v>
      </c>
      <c r="AA153" t="s">
        <v>59</v>
      </c>
      <c r="AB153" t="s">
        <v>79</v>
      </c>
      <c r="AC153" t="s">
        <v>59</v>
      </c>
      <c r="AD153" t="s">
        <v>60</v>
      </c>
      <c r="AE153" t="s">
        <v>88</v>
      </c>
      <c r="AF153" t="s">
        <v>147</v>
      </c>
      <c r="AG153" t="s">
        <v>63</v>
      </c>
      <c r="AH153" t="s">
        <v>63</v>
      </c>
      <c r="AI153" t="s">
        <v>63</v>
      </c>
      <c r="AJ153" t="s">
        <v>82</v>
      </c>
      <c r="AK153" t="s">
        <v>63</v>
      </c>
      <c r="AL153" t="s">
        <v>120</v>
      </c>
      <c r="AM153" t="s">
        <v>67</v>
      </c>
      <c r="AN153" t="s">
        <v>89</v>
      </c>
      <c r="AO153" t="s">
        <v>63</v>
      </c>
      <c r="AP153" t="s">
        <v>107</v>
      </c>
      <c r="AQ153" t="s">
        <v>63</v>
      </c>
      <c r="AR153" s="25">
        <v>8</v>
      </c>
      <c r="AS153" t="s">
        <v>355</v>
      </c>
    </row>
    <row r="154" spans="1:45" x14ac:dyDescent="0.3">
      <c r="A154">
        <v>153</v>
      </c>
      <c r="B154" s="24">
        <v>46218.411215277774</v>
      </c>
      <c r="C154" s="24">
        <v>46218.413449074076</v>
      </c>
      <c r="D154" t="s">
        <v>45</v>
      </c>
      <c r="F154" s="1"/>
      <c r="G154" t="s">
        <v>46</v>
      </c>
      <c r="H154" t="s">
        <v>47</v>
      </c>
      <c r="I154" t="s">
        <v>48</v>
      </c>
      <c r="J154" t="s">
        <v>162</v>
      </c>
      <c r="K154" t="s">
        <v>109</v>
      </c>
      <c r="L154" t="s">
        <v>51</v>
      </c>
      <c r="M154" t="s">
        <v>51</v>
      </c>
      <c r="N154" t="s">
        <v>116</v>
      </c>
      <c r="O154" t="s">
        <v>53</v>
      </c>
      <c r="P154" t="s">
        <v>54</v>
      </c>
      <c r="Q154" t="s">
        <v>55</v>
      </c>
      <c r="R154" t="s">
        <v>56</v>
      </c>
      <c r="S154" t="s">
        <v>57</v>
      </c>
      <c r="T154" t="s">
        <v>93</v>
      </c>
      <c r="U154" t="s">
        <v>59</v>
      </c>
      <c r="V154" t="s">
        <v>59</v>
      </c>
      <c r="W154" t="s">
        <v>59</v>
      </c>
      <c r="X154" t="s">
        <v>59</v>
      </c>
      <c r="Y154" t="s">
        <v>59</v>
      </c>
      <c r="Z154" t="s">
        <v>59</v>
      </c>
      <c r="AA154" t="s">
        <v>59</v>
      </c>
      <c r="AB154" t="s">
        <v>59</v>
      </c>
      <c r="AC154" t="s">
        <v>59</v>
      </c>
      <c r="AD154" t="s">
        <v>60</v>
      </c>
      <c r="AE154" t="s">
        <v>61</v>
      </c>
      <c r="AF154" t="s">
        <v>62</v>
      </c>
      <c r="AG154" t="s">
        <v>63</v>
      </c>
      <c r="AH154" t="s">
        <v>63</v>
      </c>
      <c r="AI154" t="s">
        <v>63</v>
      </c>
      <c r="AJ154" t="s">
        <v>65</v>
      </c>
      <c r="AK154" t="s">
        <v>63</v>
      </c>
      <c r="AL154" t="s">
        <v>66</v>
      </c>
      <c r="AM154" t="s">
        <v>67</v>
      </c>
      <c r="AN154" t="s">
        <v>68</v>
      </c>
      <c r="AO154" t="s">
        <v>63</v>
      </c>
      <c r="AP154" t="s">
        <v>98</v>
      </c>
      <c r="AQ154" t="s">
        <v>63</v>
      </c>
      <c r="AR154" s="25">
        <v>7</v>
      </c>
      <c r="AS154" t="s">
        <v>95</v>
      </c>
    </row>
    <row r="155" spans="1:45" x14ac:dyDescent="0.3">
      <c r="A155">
        <v>154</v>
      </c>
      <c r="B155" s="24">
        <v>46218.408912037034</v>
      </c>
      <c r="C155" s="24">
        <v>46218.413622685184</v>
      </c>
      <c r="D155" t="s">
        <v>45</v>
      </c>
      <c r="F155" s="1"/>
      <c r="G155" t="s">
        <v>46</v>
      </c>
      <c r="H155" t="s">
        <v>112</v>
      </c>
      <c r="I155" t="s">
        <v>48</v>
      </c>
      <c r="J155" t="s">
        <v>49</v>
      </c>
      <c r="K155" t="s">
        <v>356</v>
      </c>
      <c r="L155" t="s">
        <v>73</v>
      </c>
      <c r="M155" t="s">
        <v>73</v>
      </c>
      <c r="N155" t="s">
        <v>52</v>
      </c>
      <c r="O155" t="s">
        <v>228</v>
      </c>
      <c r="P155" t="s">
        <v>74</v>
      </c>
      <c r="Q155" t="s">
        <v>75</v>
      </c>
      <c r="R155" t="s">
        <v>76</v>
      </c>
      <c r="S155" t="s">
        <v>77</v>
      </c>
      <c r="T155" t="s">
        <v>58</v>
      </c>
      <c r="U155" t="s">
        <v>59</v>
      </c>
      <c r="V155" t="s">
        <v>59</v>
      </c>
      <c r="W155" t="s">
        <v>59</v>
      </c>
      <c r="X155" t="s">
        <v>59</v>
      </c>
      <c r="Y155" t="s">
        <v>59</v>
      </c>
      <c r="Z155" t="s">
        <v>59</v>
      </c>
      <c r="AA155" t="s">
        <v>59</v>
      </c>
      <c r="AB155" t="s">
        <v>59</v>
      </c>
      <c r="AC155" t="s">
        <v>59</v>
      </c>
      <c r="AD155" t="s">
        <v>60</v>
      </c>
      <c r="AE155" t="s">
        <v>61</v>
      </c>
      <c r="AF155" t="s">
        <v>62</v>
      </c>
      <c r="AG155" t="s">
        <v>63</v>
      </c>
      <c r="AH155" t="s">
        <v>63</v>
      </c>
      <c r="AI155" t="s">
        <v>63</v>
      </c>
      <c r="AJ155" t="s">
        <v>82</v>
      </c>
      <c r="AK155" t="s">
        <v>63</v>
      </c>
      <c r="AL155" t="s">
        <v>102</v>
      </c>
      <c r="AM155" t="s">
        <v>67</v>
      </c>
      <c r="AN155" t="s">
        <v>68</v>
      </c>
      <c r="AO155" t="s">
        <v>63</v>
      </c>
      <c r="AP155" t="s">
        <v>69</v>
      </c>
      <c r="AQ155" t="s">
        <v>63</v>
      </c>
      <c r="AR155" s="25">
        <v>8</v>
      </c>
      <c r="AS155" t="s">
        <v>320</v>
      </c>
    </row>
    <row r="156" spans="1:45" x14ac:dyDescent="0.3">
      <c r="A156">
        <v>155</v>
      </c>
      <c r="B156" s="24">
        <v>46218.410902777781</v>
      </c>
      <c r="C156" s="24">
        <v>46218.4140162037</v>
      </c>
      <c r="D156" t="s">
        <v>45</v>
      </c>
      <c r="F156" s="1"/>
      <c r="G156" t="s">
        <v>100</v>
      </c>
      <c r="H156" t="s">
        <v>91</v>
      </c>
      <c r="I156" t="s">
        <v>48</v>
      </c>
      <c r="J156" t="s">
        <v>186</v>
      </c>
      <c r="K156" t="s">
        <v>165</v>
      </c>
      <c r="L156" t="s">
        <v>73</v>
      </c>
      <c r="M156" t="s">
        <v>73</v>
      </c>
      <c r="N156" t="s">
        <v>52</v>
      </c>
      <c r="O156" t="s">
        <v>53</v>
      </c>
      <c r="P156" t="s">
        <v>74</v>
      </c>
      <c r="Q156" t="s">
        <v>75</v>
      </c>
      <c r="R156" t="s">
        <v>76</v>
      </c>
      <c r="S156" t="s">
        <v>77</v>
      </c>
      <c r="T156" t="s">
        <v>58</v>
      </c>
      <c r="U156" t="s">
        <v>59</v>
      </c>
      <c r="V156" t="s">
        <v>79</v>
      </c>
      <c r="W156" t="s">
        <v>59</v>
      </c>
      <c r="X156" t="s">
        <v>79</v>
      </c>
      <c r="Y156" t="s">
        <v>79</v>
      </c>
      <c r="Z156" t="s">
        <v>59</v>
      </c>
      <c r="AA156" t="s">
        <v>59</v>
      </c>
      <c r="AB156" t="s">
        <v>79</v>
      </c>
      <c r="AC156" t="s">
        <v>79</v>
      </c>
      <c r="AD156" t="s">
        <v>60</v>
      </c>
      <c r="AE156" t="s">
        <v>61</v>
      </c>
      <c r="AF156" t="s">
        <v>119</v>
      </c>
      <c r="AG156" t="s">
        <v>63</v>
      </c>
      <c r="AH156" t="s">
        <v>63</v>
      </c>
      <c r="AI156" t="s">
        <v>63</v>
      </c>
      <c r="AJ156" t="s">
        <v>82</v>
      </c>
      <c r="AK156" t="s">
        <v>63</v>
      </c>
      <c r="AL156" t="s">
        <v>120</v>
      </c>
      <c r="AM156" t="s">
        <v>67</v>
      </c>
      <c r="AN156" t="s">
        <v>89</v>
      </c>
      <c r="AO156" t="s">
        <v>63</v>
      </c>
      <c r="AP156" t="s">
        <v>107</v>
      </c>
      <c r="AQ156" t="s">
        <v>63</v>
      </c>
      <c r="AR156" s="25">
        <v>8</v>
      </c>
      <c r="AS156" t="s">
        <v>357</v>
      </c>
    </row>
    <row r="157" spans="1:45" x14ac:dyDescent="0.3">
      <c r="A157">
        <v>156</v>
      </c>
      <c r="B157" s="24">
        <v>46218.410752314812</v>
      </c>
      <c r="C157" s="24">
        <v>46218.414027777777</v>
      </c>
      <c r="D157" t="s">
        <v>45</v>
      </c>
      <c r="F157" s="1"/>
      <c r="G157" t="s">
        <v>100</v>
      </c>
      <c r="H157" t="s">
        <v>91</v>
      </c>
      <c r="I157" t="s">
        <v>101</v>
      </c>
      <c r="J157" t="s">
        <v>49</v>
      </c>
      <c r="K157" t="s">
        <v>289</v>
      </c>
      <c r="L157" t="s">
        <v>146</v>
      </c>
      <c r="M157" t="s">
        <v>146</v>
      </c>
      <c r="N157" t="s">
        <v>52</v>
      </c>
      <c r="O157" t="s">
        <v>53</v>
      </c>
      <c r="P157" t="s">
        <v>54</v>
      </c>
      <c r="Q157" t="s">
        <v>75</v>
      </c>
      <c r="R157" t="s">
        <v>76</v>
      </c>
      <c r="S157" t="s">
        <v>106</v>
      </c>
      <c r="T157" t="s">
        <v>78</v>
      </c>
      <c r="U157" t="s">
        <v>87</v>
      </c>
      <c r="V157" t="s">
        <v>87</v>
      </c>
      <c r="W157" t="s">
        <v>79</v>
      </c>
      <c r="X157" t="s">
        <v>59</v>
      </c>
      <c r="Y157" t="s">
        <v>59</v>
      </c>
      <c r="Z157" t="s">
        <v>79</v>
      </c>
      <c r="AA157" t="s">
        <v>79</v>
      </c>
      <c r="AB157" t="s">
        <v>79</v>
      </c>
      <c r="AC157" t="s">
        <v>87</v>
      </c>
      <c r="AD157" t="s">
        <v>98</v>
      </c>
      <c r="AE157" t="s">
        <v>94</v>
      </c>
      <c r="AF157" t="s">
        <v>173</v>
      </c>
      <c r="AG157" t="s">
        <v>137</v>
      </c>
      <c r="AH157" t="s">
        <v>137</v>
      </c>
      <c r="AI157" t="s">
        <v>81</v>
      </c>
      <c r="AJ157" t="s">
        <v>65</v>
      </c>
      <c r="AK157" t="s">
        <v>137</v>
      </c>
      <c r="AL157" t="s">
        <v>137</v>
      </c>
      <c r="AM157" t="s">
        <v>137</v>
      </c>
      <c r="AN157" t="s">
        <v>68</v>
      </c>
      <c r="AO157" t="s">
        <v>137</v>
      </c>
      <c r="AP157" t="s">
        <v>107</v>
      </c>
      <c r="AQ157" t="s">
        <v>137</v>
      </c>
      <c r="AR157" s="25">
        <v>8</v>
      </c>
      <c r="AS157" t="s">
        <v>358</v>
      </c>
    </row>
    <row r="158" spans="1:45" x14ac:dyDescent="0.3">
      <c r="A158">
        <v>157</v>
      </c>
      <c r="B158" s="24">
        <v>46218.411053240743</v>
      </c>
      <c r="C158" s="24">
        <v>46218.414201388892</v>
      </c>
      <c r="D158" t="s">
        <v>45</v>
      </c>
      <c r="F158" s="1"/>
      <c r="G158" t="s">
        <v>46</v>
      </c>
      <c r="H158" t="s">
        <v>47</v>
      </c>
      <c r="I158" t="s">
        <v>133</v>
      </c>
      <c r="J158" t="s">
        <v>162</v>
      </c>
      <c r="K158" t="s">
        <v>109</v>
      </c>
      <c r="L158" t="s">
        <v>73</v>
      </c>
      <c r="M158" t="s">
        <v>73</v>
      </c>
      <c r="N158" t="s">
        <v>52</v>
      </c>
      <c r="O158" t="s">
        <v>53</v>
      </c>
      <c r="P158" t="s">
        <v>74</v>
      </c>
      <c r="Q158" t="s">
        <v>75</v>
      </c>
      <c r="R158" t="s">
        <v>76</v>
      </c>
      <c r="S158" t="s">
        <v>77</v>
      </c>
      <c r="T158" t="s">
        <v>58</v>
      </c>
      <c r="U158" t="s">
        <v>59</v>
      </c>
      <c r="V158" t="s">
        <v>59</v>
      </c>
      <c r="W158" t="s">
        <v>59</v>
      </c>
      <c r="X158" t="s">
        <v>59</v>
      </c>
      <c r="Y158" t="s">
        <v>59</v>
      </c>
      <c r="Z158" t="s">
        <v>59</v>
      </c>
      <c r="AA158" t="s">
        <v>59</v>
      </c>
      <c r="AB158" t="s">
        <v>59</v>
      </c>
      <c r="AC158" t="s">
        <v>59</v>
      </c>
      <c r="AD158" t="s">
        <v>60</v>
      </c>
      <c r="AE158" t="s">
        <v>61</v>
      </c>
      <c r="AF158" t="s">
        <v>62</v>
      </c>
      <c r="AG158" t="s">
        <v>63</v>
      </c>
      <c r="AH158" t="s">
        <v>63</v>
      </c>
      <c r="AI158" t="s">
        <v>63</v>
      </c>
      <c r="AJ158" t="s">
        <v>82</v>
      </c>
      <c r="AK158" t="s">
        <v>63</v>
      </c>
      <c r="AL158" t="s">
        <v>102</v>
      </c>
      <c r="AM158" t="s">
        <v>121</v>
      </c>
      <c r="AN158" t="s">
        <v>89</v>
      </c>
      <c r="AO158" t="s">
        <v>63</v>
      </c>
      <c r="AP158" t="s">
        <v>69</v>
      </c>
      <c r="AQ158" t="s">
        <v>63</v>
      </c>
      <c r="AR158" s="25">
        <v>8</v>
      </c>
      <c r="AS158" t="s">
        <v>359</v>
      </c>
    </row>
    <row r="159" spans="1:45" x14ac:dyDescent="0.3">
      <c r="A159">
        <v>158</v>
      </c>
      <c r="B159" s="24">
        <v>46218.413136574076</v>
      </c>
      <c r="C159" s="24">
        <v>46218.4143287037</v>
      </c>
      <c r="D159" t="s">
        <v>45</v>
      </c>
      <c r="F159" s="1"/>
      <c r="G159" t="s">
        <v>100</v>
      </c>
      <c r="H159" t="s">
        <v>318</v>
      </c>
      <c r="I159" t="s">
        <v>101</v>
      </c>
      <c r="J159" t="s">
        <v>49</v>
      </c>
      <c r="K159" t="s">
        <v>360</v>
      </c>
      <c r="L159" t="s">
        <v>51</v>
      </c>
      <c r="M159" t="s">
        <v>51</v>
      </c>
      <c r="N159" t="s">
        <v>116</v>
      </c>
      <c r="O159" t="s">
        <v>53</v>
      </c>
      <c r="P159" t="s">
        <v>54</v>
      </c>
      <c r="Q159" t="s">
        <v>55</v>
      </c>
      <c r="R159" t="s">
        <v>76</v>
      </c>
      <c r="S159" t="s">
        <v>77</v>
      </c>
      <c r="T159" t="s">
        <v>93</v>
      </c>
      <c r="U159" t="s">
        <v>59</v>
      </c>
      <c r="V159" t="s">
        <v>79</v>
      </c>
      <c r="W159" t="s">
        <v>59</v>
      </c>
      <c r="X159" t="s">
        <v>59</v>
      </c>
      <c r="Y159" t="s">
        <v>59</v>
      </c>
      <c r="Z159" t="s">
        <v>79</v>
      </c>
      <c r="AA159" t="s">
        <v>59</v>
      </c>
      <c r="AB159" t="s">
        <v>59</v>
      </c>
      <c r="AC159" t="s">
        <v>79</v>
      </c>
      <c r="AD159" t="s">
        <v>60</v>
      </c>
      <c r="AE159" t="s">
        <v>94</v>
      </c>
      <c r="AF159" t="s">
        <v>119</v>
      </c>
      <c r="AG159" t="s">
        <v>64</v>
      </c>
      <c r="AH159" t="s">
        <v>63</v>
      </c>
      <c r="AI159" t="s">
        <v>63</v>
      </c>
      <c r="AJ159" t="s">
        <v>65</v>
      </c>
      <c r="AK159" t="s">
        <v>64</v>
      </c>
      <c r="AL159" t="s">
        <v>66</v>
      </c>
      <c r="AM159" t="s">
        <v>67</v>
      </c>
      <c r="AN159" t="s">
        <v>89</v>
      </c>
      <c r="AO159" t="s">
        <v>64</v>
      </c>
      <c r="AP159" t="s">
        <v>107</v>
      </c>
      <c r="AQ159" t="s">
        <v>63</v>
      </c>
      <c r="AR159" s="25">
        <v>8</v>
      </c>
      <c r="AS159" t="s">
        <v>361</v>
      </c>
    </row>
    <row r="160" spans="1:45" x14ac:dyDescent="0.3">
      <c r="A160">
        <v>159</v>
      </c>
      <c r="B160" s="24">
        <v>46218.413865740738</v>
      </c>
      <c r="C160" s="24">
        <v>46218.415636574071</v>
      </c>
      <c r="D160" t="s">
        <v>45</v>
      </c>
      <c r="F160" s="1"/>
      <c r="G160" t="s">
        <v>100</v>
      </c>
      <c r="H160" t="s">
        <v>91</v>
      </c>
      <c r="I160" t="s">
        <v>101</v>
      </c>
      <c r="J160" t="s">
        <v>162</v>
      </c>
      <c r="K160" t="s">
        <v>362</v>
      </c>
      <c r="L160" t="s">
        <v>51</v>
      </c>
      <c r="M160" t="s">
        <v>51</v>
      </c>
      <c r="N160" t="s">
        <v>52</v>
      </c>
      <c r="O160" t="s">
        <v>53</v>
      </c>
      <c r="P160" t="s">
        <v>74</v>
      </c>
      <c r="Q160" t="s">
        <v>75</v>
      </c>
      <c r="R160" t="s">
        <v>76</v>
      </c>
      <c r="S160" t="s">
        <v>57</v>
      </c>
      <c r="T160" t="s">
        <v>93</v>
      </c>
      <c r="U160" t="s">
        <v>59</v>
      </c>
      <c r="V160" t="s">
        <v>59</v>
      </c>
      <c r="W160" t="s">
        <v>59</v>
      </c>
      <c r="X160" t="s">
        <v>59</v>
      </c>
      <c r="Y160" t="s">
        <v>59</v>
      </c>
      <c r="Z160" t="s">
        <v>59</v>
      </c>
      <c r="AA160" t="s">
        <v>59</v>
      </c>
      <c r="AB160" t="s">
        <v>59</v>
      </c>
      <c r="AC160" t="s">
        <v>59</v>
      </c>
      <c r="AD160" t="s">
        <v>60</v>
      </c>
      <c r="AE160" t="s">
        <v>94</v>
      </c>
      <c r="AF160" t="s">
        <v>62</v>
      </c>
      <c r="AG160" t="s">
        <v>63</v>
      </c>
      <c r="AH160" t="s">
        <v>63</v>
      </c>
      <c r="AI160" t="s">
        <v>63</v>
      </c>
      <c r="AJ160" t="s">
        <v>82</v>
      </c>
      <c r="AK160" t="s">
        <v>63</v>
      </c>
      <c r="AL160" t="s">
        <v>66</v>
      </c>
      <c r="AM160" t="s">
        <v>67</v>
      </c>
      <c r="AN160" t="s">
        <v>175</v>
      </c>
      <c r="AO160" t="s">
        <v>63</v>
      </c>
      <c r="AP160" t="s">
        <v>98</v>
      </c>
      <c r="AQ160" t="s">
        <v>63</v>
      </c>
      <c r="AR160" s="25">
        <v>8</v>
      </c>
      <c r="AS160" t="s">
        <v>363</v>
      </c>
    </row>
    <row r="161" spans="1:45" x14ac:dyDescent="0.3">
      <c r="A161">
        <v>160</v>
      </c>
      <c r="B161" s="24">
        <v>46218.414456018516</v>
      </c>
      <c r="C161" s="24">
        <v>46218.415925925925</v>
      </c>
      <c r="D161" t="s">
        <v>45</v>
      </c>
      <c r="F161" s="1"/>
      <c r="G161" t="s">
        <v>100</v>
      </c>
      <c r="H161" t="s">
        <v>91</v>
      </c>
      <c r="I161" t="s">
        <v>48</v>
      </c>
      <c r="J161" t="s">
        <v>49</v>
      </c>
      <c r="K161" t="s">
        <v>305</v>
      </c>
      <c r="L161" t="s">
        <v>73</v>
      </c>
      <c r="M161" t="s">
        <v>51</v>
      </c>
      <c r="N161" t="s">
        <v>116</v>
      </c>
      <c r="O161" t="s">
        <v>53</v>
      </c>
      <c r="P161" t="s">
        <v>74</v>
      </c>
      <c r="Q161" t="s">
        <v>75</v>
      </c>
      <c r="R161" t="s">
        <v>76</v>
      </c>
      <c r="S161" t="s">
        <v>57</v>
      </c>
      <c r="T161" t="s">
        <v>93</v>
      </c>
      <c r="U161" t="s">
        <v>59</v>
      </c>
      <c r="V161" t="s">
        <v>79</v>
      </c>
      <c r="W161" t="s">
        <v>59</v>
      </c>
      <c r="X161" t="s">
        <v>59</v>
      </c>
      <c r="Y161" t="s">
        <v>59</v>
      </c>
      <c r="Z161" t="s">
        <v>79</v>
      </c>
      <c r="AA161" t="s">
        <v>59</v>
      </c>
      <c r="AB161" t="s">
        <v>59</v>
      </c>
      <c r="AC161" t="s">
        <v>59</v>
      </c>
      <c r="AD161" t="s">
        <v>60</v>
      </c>
      <c r="AE161" t="s">
        <v>61</v>
      </c>
      <c r="AF161" t="s">
        <v>62</v>
      </c>
      <c r="AG161" t="s">
        <v>64</v>
      </c>
      <c r="AH161" t="s">
        <v>63</v>
      </c>
      <c r="AI161" t="s">
        <v>64</v>
      </c>
      <c r="AJ161" t="s">
        <v>65</v>
      </c>
      <c r="AK161" t="s">
        <v>64</v>
      </c>
      <c r="AL161" t="s">
        <v>120</v>
      </c>
      <c r="AM161" t="s">
        <v>67</v>
      </c>
      <c r="AN161" t="s">
        <v>68</v>
      </c>
      <c r="AO161" t="s">
        <v>63</v>
      </c>
      <c r="AP161" t="s">
        <v>69</v>
      </c>
      <c r="AQ161" t="s">
        <v>64</v>
      </c>
      <c r="AR161" s="25">
        <v>8</v>
      </c>
      <c r="AS161" t="s">
        <v>364</v>
      </c>
    </row>
    <row r="162" spans="1:45" x14ac:dyDescent="0.3">
      <c r="A162">
        <v>161</v>
      </c>
      <c r="B162" s="24">
        <v>46218.414375</v>
      </c>
      <c r="C162" s="24">
        <v>46218.416122685187</v>
      </c>
      <c r="D162" t="s">
        <v>45</v>
      </c>
      <c r="F162" s="1"/>
      <c r="G162" t="s">
        <v>100</v>
      </c>
      <c r="H162" t="s">
        <v>112</v>
      </c>
      <c r="I162" t="s">
        <v>133</v>
      </c>
      <c r="J162" t="s">
        <v>104</v>
      </c>
      <c r="K162" t="s">
        <v>109</v>
      </c>
      <c r="L162" t="s">
        <v>51</v>
      </c>
      <c r="M162" t="s">
        <v>51</v>
      </c>
      <c r="N162" t="s">
        <v>116</v>
      </c>
      <c r="O162" t="s">
        <v>53</v>
      </c>
      <c r="P162" t="s">
        <v>54</v>
      </c>
      <c r="Q162" t="s">
        <v>55</v>
      </c>
      <c r="R162" t="s">
        <v>56</v>
      </c>
      <c r="S162" t="s">
        <v>77</v>
      </c>
      <c r="T162" t="s">
        <v>58</v>
      </c>
      <c r="U162" t="s">
        <v>59</v>
      </c>
      <c r="V162" t="s">
        <v>59</v>
      </c>
      <c r="W162" t="s">
        <v>59</v>
      </c>
      <c r="X162" t="s">
        <v>59</v>
      </c>
      <c r="Y162" t="s">
        <v>59</v>
      </c>
      <c r="Z162" t="s">
        <v>59</v>
      </c>
      <c r="AA162" t="s">
        <v>59</v>
      </c>
      <c r="AB162" t="s">
        <v>59</v>
      </c>
      <c r="AC162" t="s">
        <v>59</v>
      </c>
      <c r="AD162" t="s">
        <v>60</v>
      </c>
      <c r="AE162" t="s">
        <v>61</v>
      </c>
      <c r="AF162" t="s">
        <v>173</v>
      </c>
      <c r="AG162" t="s">
        <v>137</v>
      </c>
      <c r="AH162" t="s">
        <v>137</v>
      </c>
      <c r="AI162" t="s">
        <v>81</v>
      </c>
      <c r="AJ162" t="s">
        <v>82</v>
      </c>
      <c r="AK162" t="s">
        <v>137</v>
      </c>
      <c r="AL162" t="s">
        <v>137</v>
      </c>
      <c r="AM162" t="s">
        <v>137</v>
      </c>
      <c r="AN162" t="s">
        <v>137</v>
      </c>
      <c r="AO162" t="s">
        <v>137</v>
      </c>
      <c r="AP162" t="s">
        <v>107</v>
      </c>
      <c r="AQ162" t="s">
        <v>137</v>
      </c>
      <c r="AR162" s="25">
        <v>8</v>
      </c>
      <c r="AS162" t="s">
        <v>365</v>
      </c>
    </row>
    <row r="163" spans="1:45" x14ac:dyDescent="0.3">
      <c r="A163">
        <v>162</v>
      </c>
      <c r="B163" s="24">
        <v>46218.416087962964</v>
      </c>
      <c r="C163" s="24">
        <v>46218.416979166665</v>
      </c>
      <c r="D163" t="s">
        <v>45</v>
      </c>
      <c r="F163" s="1"/>
      <c r="G163" t="s">
        <v>100</v>
      </c>
      <c r="H163" t="s">
        <v>47</v>
      </c>
      <c r="I163" t="s">
        <v>101</v>
      </c>
      <c r="J163" t="s">
        <v>104</v>
      </c>
      <c r="K163" t="s">
        <v>244</v>
      </c>
      <c r="L163" t="s">
        <v>51</v>
      </c>
      <c r="M163" t="s">
        <v>51</v>
      </c>
      <c r="N163" t="s">
        <v>116</v>
      </c>
      <c r="O163" t="s">
        <v>53</v>
      </c>
      <c r="P163" t="s">
        <v>54</v>
      </c>
      <c r="Q163" t="s">
        <v>55</v>
      </c>
      <c r="R163" t="s">
        <v>56</v>
      </c>
      <c r="S163" t="s">
        <v>57</v>
      </c>
      <c r="T163" t="s">
        <v>93</v>
      </c>
      <c r="U163" t="s">
        <v>59</v>
      </c>
      <c r="V163" t="s">
        <v>59</v>
      </c>
      <c r="W163" t="s">
        <v>59</v>
      </c>
      <c r="X163" t="s">
        <v>59</v>
      </c>
      <c r="Y163" t="s">
        <v>59</v>
      </c>
      <c r="Z163" t="s">
        <v>59</v>
      </c>
      <c r="AA163" t="s">
        <v>59</v>
      </c>
      <c r="AB163" t="s">
        <v>59</v>
      </c>
      <c r="AC163" t="s">
        <v>59</v>
      </c>
      <c r="AD163" t="s">
        <v>80</v>
      </c>
      <c r="AE163" t="s">
        <v>94</v>
      </c>
      <c r="AF163" t="s">
        <v>119</v>
      </c>
      <c r="AG163" t="s">
        <v>64</v>
      </c>
      <c r="AH163" t="s">
        <v>64</v>
      </c>
      <c r="AI163" t="s">
        <v>64</v>
      </c>
      <c r="AJ163" t="s">
        <v>65</v>
      </c>
      <c r="AK163" t="s">
        <v>64</v>
      </c>
      <c r="AL163" t="s">
        <v>120</v>
      </c>
      <c r="AM163" t="s">
        <v>121</v>
      </c>
      <c r="AN163" t="s">
        <v>68</v>
      </c>
      <c r="AO163" t="s">
        <v>64</v>
      </c>
      <c r="AP163" t="s">
        <v>110</v>
      </c>
      <c r="AQ163" t="s">
        <v>64</v>
      </c>
      <c r="AR163" s="25">
        <v>9</v>
      </c>
      <c r="AS163" t="s">
        <v>366</v>
      </c>
    </row>
    <row r="164" spans="1:45" x14ac:dyDescent="0.3">
      <c r="A164">
        <v>163</v>
      </c>
      <c r="B164" s="24">
        <v>46218.414398148147</v>
      </c>
      <c r="C164" s="24">
        <v>46218.417291666665</v>
      </c>
      <c r="D164" t="s">
        <v>45</v>
      </c>
      <c r="F164" s="1"/>
      <c r="G164" t="s">
        <v>46</v>
      </c>
      <c r="H164" t="s">
        <v>47</v>
      </c>
      <c r="I164" t="s">
        <v>84</v>
      </c>
      <c r="J164" t="s">
        <v>186</v>
      </c>
      <c r="K164" t="s">
        <v>149</v>
      </c>
      <c r="L164" t="s">
        <v>73</v>
      </c>
      <c r="M164" t="s">
        <v>73</v>
      </c>
      <c r="N164" t="s">
        <v>52</v>
      </c>
      <c r="O164" t="s">
        <v>53</v>
      </c>
      <c r="P164" t="s">
        <v>74</v>
      </c>
      <c r="Q164" t="s">
        <v>75</v>
      </c>
      <c r="R164" t="s">
        <v>76</v>
      </c>
      <c r="S164" t="s">
        <v>77</v>
      </c>
      <c r="T164" t="s">
        <v>93</v>
      </c>
      <c r="U164" t="s">
        <v>59</v>
      </c>
      <c r="V164" t="s">
        <v>79</v>
      </c>
      <c r="W164" t="s">
        <v>59</v>
      </c>
      <c r="X164" t="s">
        <v>79</v>
      </c>
      <c r="Y164" t="s">
        <v>79</v>
      </c>
      <c r="Z164" t="s">
        <v>59</v>
      </c>
      <c r="AA164" t="s">
        <v>79</v>
      </c>
      <c r="AB164" t="s">
        <v>59</v>
      </c>
      <c r="AC164" t="s">
        <v>59</v>
      </c>
      <c r="AD164" t="s">
        <v>60</v>
      </c>
      <c r="AE164" t="s">
        <v>61</v>
      </c>
      <c r="AF164" t="s">
        <v>62</v>
      </c>
      <c r="AG164" t="s">
        <v>63</v>
      </c>
      <c r="AH164" t="s">
        <v>63</v>
      </c>
      <c r="AI164" t="s">
        <v>63</v>
      </c>
      <c r="AJ164" t="s">
        <v>65</v>
      </c>
      <c r="AK164" t="s">
        <v>63</v>
      </c>
      <c r="AL164" t="s">
        <v>120</v>
      </c>
      <c r="AM164" t="s">
        <v>67</v>
      </c>
      <c r="AN164" t="s">
        <v>68</v>
      </c>
      <c r="AO164" t="s">
        <v>63</v>
      </c>
      <c r="AP164" t="s">
        <v>107</v>
      </c>
      <c r="AQ164" t="s">
        <v>63</v>
      </c>
      <c r="AR164" s="25">
        <v>9</v>
      </c>
      <c r="AS164" t="s">
        <v>367</v>
      </c>
    </row>
    <row r="165" spans="1:45" x14ac:dyDescent="0.3">
      <c r="A165">
        <v>164</v>
      </c>
      <c r="B165" s="24">
        <v>46218.413993055554</v>
      </c>
      <c r="C165" s="24">
        <v>46218.417303240742</v>
      </c>
      <c r="D165" t="s">
        <v>45</v>
      </c>
      <c r="F165" s="1"/>
      <c r="G165" t="s">
        <v>100</v>
      </c>
      <c r="H165" t="s">
        <v>91</v>
      </c>
      <c r="I165" t="s">
        <v>48</v>
      </c>
      <c r="J165" t="s">
        <v>186</v>
      </c>
      <c r="K165" t="s">
        <v>97</v>
      </c>
      <c r="L165" t="s">
        <v>73</v>
      </c>
      <c r="M165" t="s">
        <v>73</v>
      </c>
      <c r="N165" t="s">
        <v>52</v>
      </c>
      <c r="O165" t="s">
        <v>53</v>
      </c>
      <c r="P165" t="s">
        <v>74</v>
      </c>
      <c r="Q165" t="s">
        <v>75</v>
      </c>
      <c r="R165" t="s">
        <v>76</v>
      </c>
      <c r="S165" t="s">
        <v>77</v>
      </c>
      <c r="T165" t="s">
        <v>58</v>
      </c>
      <c r="U165" t="s">
        <v>59</v>
      </c>
      <c r="V165" t="s">
        <v>59</v>
      </c>
      <c r="W165" t="s">
        <v>59</v>
      </c>
      <c r="X165" t="s">
        <v>59</v>
      </c>
      <c r="Y165" t="s">
        <v>59</v>
      </c>
      <c r="Z165" t="s">
        <v>79</v>
      </c>
      <c r="AA165" t="s">
        <v>79</v>
      </c>
      <c r="AB165" t="s">
        <v>79</v>
      </c>
      <c r="AC165" t="s">
        <v>59</v>
      </c>
      <c r="AD165" t="s">
        <v>60</v>
      </c>
      <c r="AE165" t="s">
        <v>88</v>
      </c>
      <c r="AF165" t="s">
        <v>147</v>
      </c>
      <c r="AG165" t="s">
        <v>63</v>
      </c>
      <c r="AH165" t="s">
        <v>81</v>
      </c>
      <c r="AI165" t="s">
        <v>63</v>
      </c>
      <c r="AJ165" t="s">
        <v>82</v>
      </c>
      <c r="AK165" t="s">
        <v>63</v>
      </c>
      <c r="AL165" t="s">
        <v>120</v>
      </c>
      <c r="AM165" t="s">
        <v>67</v>
      </c>
      <c r="AN165" t="s">
        <v>89</v>
      </c>
      <c r="AO165" t="s">
        <v>63</v>
      </c>
      <c r="AP165" t="s">
        <v>107</v>
      </c>
      <c r="AQ165" t="s">
        <v>63</v>
      </c>
      <c r="AR165" s="25">
        <v>8</v>
      </c>
      <c r="AS165" t="s">
        <v>368</v>
      </c>
    </row>
    <row r="166" spans="1:45" x14ac:dyDescent="0.3">
      <c r="A166">
        <v>165</v>
      </c>
      <c r="B166" s="24">
        <v>46218.41615740741</v>
      </c>
      <c r="C166" s="24">
        <v>46218.41778935185</v>
      </c>
      <c r="D166" t="s">
        <v>45</v>
      </c>
      <c r="F166" s="1"/>
      <c r="G166" t="s">
        <v>100</v>
      </c>
      <c r="H166" t="s">
        <v>47</v>
      </c>
      <c r="I166" t="s">
        <v>101</v>
      </c>
      <c r="J166" t="s">
        <v>162</v>
      </c>
      <c r="K166" t="s">
        <v>369</v>
      </c>
      <c r="L166" t="s">
        <v>73</v>
      </c>
      <c r="M166" t="s">
        <v>73</v>
      </c>
      <c r="N166" t="s">
        <v>52</v>
      </c>
      <c r="O166" t="s">
        <v>53</v>
      </c>
      <c r="P166" t="s">
        <v>74</v>
      </c>
      <c r="Q166" t="s">
        <v>75</v>
      </c>
      <c r="R166" t="s">
        <v>76</v>
      </c>
      <c r="S166" t="s">
        <v>77</v>
      </c>
      <c r="T166" t="s">
        <v>78</v>
      </c>
      <c r="U166" t="s">
        <v>59</v>
      </c>
      <c r="V166" t="s">
        <v>59</v>
      </c>
      <c r="W166" t="s">
        <v>59</v>
      </c>
      <c r="X166" t="s">
        <v>59</v>
      </c>
      <c r="Y166" t="s">
        <v>59</v>
      </c>
      <c r="Z166" t="s">
        <v>59</v>
      </c>
      <c r="AA166" t="s">
        <v>59</v>
      </c>
      <c r="AB166" t="s">
        <v>59</v>
      </c>
      <c r="AC166" t="s">
        <v>59</v>
      </c>
      <c r="AD166" t="s">
        <v>60</v>
      </c>
      <c r="AE166" t="s">
        <v>94</v>
      </c>
      <c r="AF166" t="s">
        <v>147</v>
      </c>
      <c r="AG166" t="s">
        <v>63</v>
      </c>
      <c r="AH166" t="s">
        <v>63</v>
      </c>
      <c r="AI166" t="s">
        <v>63</v>
      </c>
      <c r="AJ166" t="s">
        <v>65</v>
      </c>
      <c r="AK166" t="s">
        <v>81</v>
      </c>
      <c r="AL166" t="s">
        <v>66</v>
      </c>
      <c r="AM166" t="s">
        <v>121</v>
      </c>
      <c r="AN166" t="s">
        <v>68</v>
      </c>
      <c r="AO166" t="s">
        <v>137</v>
      </c>
      <c r="AP166" t="s">
        <v>107</v>
      </c>
      <c r="AQ166" t="s">
        <v>137</v>
      </c>
      <c r="AR166" s="25">
        <v>9</v>
      </c>
      <c r="AS166" t="s">
        <v>370</v>
      </c>
    </row>
    <row r="167" spans="1:45" x14ac:dyDescent="0.3">
      <c r="A167">
        <v>166</v>
      </c>
      <c r="B167" s="24">
        <v>46218.417199074072</v>
      </c>
      <c r="C167" s="24">
        <v>46218.418402777781</v>
      </c>
      <c r="D167" t="s">
        <v>45</v>
      </c>
      <c r="F167" s="1"/>
      <c r="G167" t="s">
        <v>46</v>
      </c>
      <c r="H167" t="s">
        <v>47</v>
      </c>
      <c r="I167" t="s">
        <v>101</v>
      </c>
      <c r="J167" t="s">
        <v>49</v>
      </c>
      <c r="K167" t="s">
        <v>371</v>
      </c>
      <c r="L167" t="s">
        <v>51</v>
      </c>
      <c r="M167" t="s">
        <v>51</v>
      </c>
      <c r="N167" t="s">
        <v>116</v>
      </c>
      <c r="O167" t="s">
        <v>53</v>
      </c>
      <c r="P167" t="s">
        <v>74</v>
      </c>
      <c r="Q167" t="s">
        <v>75</v>
      </c>
      <c r="R167" t="s">
        <v>76</v>
      </c>
      <c r="S167" t="s">
        <v>57</v>
      </c>
      <c r="T167" t="s">
        <v>93</v>
      </c>
      <c r="U167" t="s">
        <v>59</v>
      </c>
      <c r="V167" t="s">
        <v>59</v>
      </c>
      <c r="W167" t="s">
        <v>59</v>
      </c>
      <c r="X167" t="s">
        <v>59</v>
      </c>
      <c r="Y167" t="s">
        <v>59</v>
      </c>
      <c r="Z167" t="s">
        <v>87</v>
      </c>
      <c r="AA167" t="s">
        <v>59</v>
      </c>
      <c r="AB167" t="s">
        <v>59</v>
      </c>
      <c r="AC167" t="s">
        <v>59</v>
      </c>
      <c r="AD167" t="s">
        <v>60</v>
      </c>
      <c r="AE167" t="s">
        <v>94</v>
      </c>
      <c r="AF167" t="s">
        <v>119</v>
      </c>
      <c r="AG167" t="s">
        <v>64</v>
      </c>
      <c r="AH167" t="s">
        <v>64</v>
      </c>
      <c r="AI167" t="s">
        <v>63</v>
      </c>
      <c r="AJ167" t="s">
        <v>82</v>
      </c>
      <c r="AK167" t="s">
        <v>64</v>
      </c>
      <c r="AL167" t="s">
        <v>66</v>
      </c>
      <c r="AM167" t="s">
        <v>67</v>
      </c>
      <c r="AN167" t="s">
        <v>89</v>
      </c>
      <c r="AO167" t="s">
        <v>64</v>
      </c>
      <c r="AP167" t="s">
        <v>110</v>
      </c>
      <c r="AQ167" t="s">
        <v>64</v>
      </c>
      <c r="AR167" s="25">
        <v>10</v>
      </c>
      <c r="AS167" t="s">
        <v>372</v>
      </c>
    </row>
    <row r="168" spans="1:45" x14ac:dyDescent="0.3">
      <c r="A168">
        <v>167</v>
      </c>
      <c r="B168" s="24">
        <v>46218.41542824074</v>
      </c>
      <c r="C168" s="24">
        <v>46218.418449074074</v>
      </c>
      <c r="D168" t="s">
        <v>45</v>
      </c>
      <c r="F168" s="1"/>
      <c r="G168" t="s">
        <v>100</v>
      </c>
      <c r="H168" t="s">
        <v>91</v>
      </c>
      <c r="I168" t="s">
        <v>48</v>
      </c>
      <c r="J168" t="s">
        <v>186</v>
      </c>
      <c r="K168" t="s">
        <v>373</v>
      </c>
      <c r="L168" t="s">
        <v>73</v>
      </c>
      <c r="M168" t="s">
        <v>73</v>
      </c>
      <c r="N168" t="s">
        <v>52</v>
      </c>
      <c r="O168" t="s">
        <v>228</v>
      </c>
      <c r="P168" t="s">
        <v>74</v>
      </c>
      <c r="Q168" t="s">
        <v>75</v>
      </c>
      <c r="R168" t="s">
        <v>76</v>
      </c>
      <c r="S168" t="s">
        <v>77</v>
      </c>
      <c r="T168" t="s">
        <v>58</v>
      </c>
      <c r="U168" t="s">
        <v>59</v>
      </c>
      <c r="V168" t="s">
        <v>59</v>
      </c>
      <c r="W168" t="s">
        <v>59</v>
      </c>
      <c r="X168" t="s">
        <v>59</v>
      </c>
      <c r="Y168" t="s">
        <v>59</v>
      </c>
      <c r="Z168" t="s">
        <v>59</v>
      </c>
      <c r="AA168" t="s">
        <v>59</v>
      </c>
      <c r="AB168" t="s">
        <v>59</v>
      </c>
      <c r="AC168" t="s">
        <v>59</v>
      </c>
      <c r="AD168" t="s">
        <v>80</v>
      </c>
      <c r="AE168" t="s">
        <v>61</v>
      </c>
      <c r="AF168" t="s">
        <v>62</v>
      </c>
      <c r="AG168" t="s">
        <v>63</v>
      </c>
      <c r="AH168" t="s">
        <v>63</v>
      </c>
      <c r="AI168" t="s">
        <v>63</v>
      </c>
      <c r="AJ168" t="s">
        <v>82</v>
      </c>
      <c r="AK168" t="s">
        <v>63</v>
      </c>
      <c r="AL168" t="s">
        <v>102</v>
      </c>
      <c r="AM168" t="s">
        <v>67</v>
      </c>
      <c r="AN168" t="s">
        <v>68</v>
      </c>
      <c r="AO168" t="s">
        <v>63</v>
      </c>
      <c r="AP168" t="s">
        <v>69</v>
      </c>
      <c r="AQ168" t="s">
        <v>63</v>
      </c>
      <c r="AR168" s="25">
        <v>7</v>
      </c>
      <c r="AS168" t="s">
        <v>374</v>
      </c>
    </row>
    <row r="169" spans="1:45" x14ac:dyDescent="0.3">
      <c r="A169">
        <v>168</v>
      </c>
      <c r="B169" s="24">
        <v>46218.414085648146</v>
      </c>
      <c r="C169" s="24">
        <v>46218.418645833335</v>
      </c>
      <c r="D169" t="s">
        <v>45</v>
      </c>
      <c r="F169" s="1"/>
      <c r="G169" t="s">
        <v>46</v>
      </c>
      <c r="H169" t="s">
        <v>47</v>
      </c>
      <c r="I169" t="s">
        <v>84</v>
      </c>
      <c r="J169" t="s">
        <v>162</v>
      </c>
      <c r="K169" t="s">
        <v>375</v>
      </c>
      <c r="L169" t="s">
        <v>73</v>
      </c>
      <c r="M169" t="s">
        <v>73</v>
      </c>
      <c r="N169" t="s">
        <v>52</v>
      </c>
      <c r="O169" t="s">
        <v>53</v>
      </c>
      <c r="P169" t="s">
        <v>74</v>
      </c>
      <c r="Q169" t="s">
        <v>75</v>
      </c>
      <c r="R169" t="s">
        <v>76</v>
      </c>
      <c r="S169" t="s">
        <v>77</v>
      </c>
      <c r="T169" t="s">
        <v>78</v>
      </c>
      <c r="U169" t="s">
        <v>79</v>
      </c>
      <c r="V169" t="s">
        <v>59</v>
      </c>
      <c r="W169" t="s">
        <v>59</v>
      </c>
      <c r="X169" t="s">
        <v>79</v>
      </c>
      <c r="Y169" t="s">
        <v>79</v>
      </c>
      <c r="Z169" t="s">
        <v>79</v>
      </c>
      <c r="AA169" t="s">
        <v>79</v>
      </c>
      <c r="AB169" t="s">
        <v>59</v>
      </c>
      <c r="AC169" t="s">
        <v>59</v>
      </c>
      <c r="AD169" t="s">
        <v>80</v>
      </c>
      <c r="AE169" t="s">
        <v>88</v>
      </c>
      <c r="AF169" t="s">
        <v>62</v>
      </c>
      <c r="AG169" t="s">
        <v>81</v>
      </c>
      <c r="AH169" t="s">
        <v>81</v>
      </c>
      <c r="AI169" t="s">
        <v>63</v>
      </c>
      <c r="AJ169" t="s">
        <v>82</v>
      </c>
      <c r="AK169" t="s">
        <v>63</v>
      </c>
      <c r="AL169" t="s">
        <v>66</v>
      </c>
      <c r="AM169" t="s">
        <v>137</v>
      </c>
      <c r="AN169" t="s">
        <v>68</v>
      </c>
      <c r="AO169" t="s">
        <v>63</v>
      </c>
      <c r="AP169" t="s">
        <v>98</v>
      </c>
      <c r="AQ169" t="s">
        <v>63</v>
      </c>
      <c r="AR169" s="25">
        <v>8</v>
      </c>
      <c r="AS169" t="s">
        <v>376</v>
      </c>
    </row>
    <row r="170" spans="1:45" x14ac:dyDescent="0.3">
      <c r="A170">
        <v>169</v>
      </c>
      <c r="B170" s="24">
        <v>46218.418553240743</v>
      </c>
      <c r="C170" s="24">
        <v>46218.419374999998</v>
      </c>
      <c r="D170" t="s">
        <v>45</v>
      </c>
      <c r="F170" s="1"/>
      <c r="G170" t="s">
        <v>100</v>
      </c>
      <c r="H170" t="s">
        <v>91</v>
      </c>
      <c r="I170" t="s">
        <v>101</v>
      </c>
      <c r="J170" t="s">
        <v>49</v>
      </c>
      <c r="K170" t="s">
        <v>377</v>
      </c>
      <c r="L170" t="s">
        <v>73</v>
      </c>
      <c r="M170" t="s">
        <v>51</v>
      </c>
      <c r="N170" t="s">
        <v>116</v>
      </c>
      <c r="O170" t="s">
        <v>53</v>
      </c>
      <c r="P170" t="s">
        <v>74</v>
      </c>
      <c r="Q170" t="s">
        <v>55</v>
      </c>
      <c r="R170" t="s">
        <v>56</v>
      </c>
      <c r="S170" t="s">
        <v>57</v>
      </c>
      <c r="T170" t="s">
        <v>93</v>
      </c>
      <c r="U170" t="s">
        <v>59</v>
      </c>
      <c r="V170" t="s">
        <v>59</v>
      </c>
      <c r="W170" t="s">
        <v>59</v>
      </c>
      <c r="X170" t="s">
        <v>59</v>
      </c>
      <c r="Y170" t="s">
        <v>59</v>
      </c>
      <c r="Z170" t="s">
        <v>59</v>
      </c>
      <c r="AA170" t="s">
        <v>59</v>
      </c>
      <c r="AB170" t="s">
        <v>59</v>
      </c>
      <c r="AC170" t="s">
        <v>59</v>
      </c>
      <c r="AD170" t="s">
        <v>60</v>
      </c>
      <c r="AE170" t="s">
        <v>94</v>
      </c>
      <c r="AF170" t="s">
        <v>119</v>
      </c>
      <c r="AG170" t="s">
        <v>64</v>
      </c>
      <c r="AH170" t="s">
        <v>64</v>
      </c>
      <c r="AI170" t="s">
        <v>64</v>
      </c>
      <c r="AJ170" t="s">
        <v>65</v>
      </c>
      <c r="AK170" t="s">
        <v>64</v>
      </c>
      <c r="AL170" t="s">
        <v>66</v>
      </c>
      <c r="AM170" t="s">
        <v>67</v>
      </c>
      <c r="AN170" t="s">
        <v>175</v>
      </c>
      <c r="AO170" t="s">
        <v>63</v>
      </c>
      <c r="AP170" t="s">
        <v>107</v>
      </c>
      <c r="AQ170" t="s">
        <v>64</v>
      </c>
      <c r="AR170" s="25">
        <v>8</v>
      </c>
      <c r="AS170" t="s">
        <v>378</v>
      </c>
    </row>
    <row r="171" spans="1:45" x14ac:dyDescent="0.3">
      <c r="A171">
        <v>170</v>
      </c>
      <c r="B171" s="24">
        <v>46218.417824074073</v>
      </c>
      <c r="C171" s="24">
        <v>46218.419895833336</v>
      </c>
      <c r="D171" t="s">
        <v>45</v>
      </c>
      <c r="F171" s="1"/>
      <c r="G171" t="s">
        <v>46</v>
      </c>
      <c r="H171" t="s">
        <v>318</v>
      </c>
      <c r="I171" t="s">
        <v>101</v>
      </c>
      <c r="J171" t="s">
        <v>49</v>
      </c>
      <c r="K171" t="s">
        <v>109</v>
      </c>
      <c r="L171" t="s">
        <v>51</v>
      </c>
      <c r="M171" t="s">
        <v>51</v>
      </c>
      <c r="N171" t="s">
        <v>52</v>
      </c>
      <c r="O171" t="s">
        <v>53</v>
      </c>
      <c r="P171" t="s">
        <v>54</v>
      </c>
      <c r="Q171" t="s">
        <v>55</v>
      </c>
      <c r="R171" t="s">
        <v>56</v>
      </c>
      <c r="S171" t="s">
        <v>77</v>
      </c>
      <c r="T171" t="s">
        <v>58</v>
      </c>
      <c r="U171" t="s">
        <v>59</v>
      </c>
      <c r="V171" t="s">
        <v>59</v>
      </c>
      <c r="W171" t="s">
        <v>59</v>
      </c>
      <c r="X171" t="s">
        <v>59</v>
      </c>
      <c r="Y171" t="s">
        <v>59</v>
      </c>
      <c r="Z171" t="s">
        <v>59</v>
      </c>
      <c r="AA171" t="s">
        <v>59</v>
      </c>
      <c r="AB171" t="s">
        <v>59</v>
      </c>
      <c r="AC171" t="s">
        <v>59</v>
      </c>
      <c r="AD171" t="s">
        <v>60</v>
      </c>
      <c r="AE171" t="s">
        <v>94</v>
      </c>
      <c r="AF171" t="s">
        <v>147</v>
      </c>
      <c r="AG171" t="s">
        <v>81</v>
      </c>
      <c r="AH171" t="s">
        <v>81</v>
      </c>
      <c r="AI171" t="s">
        <v>63</v>
      </c>
      <c r="AJ171" t="s">
        <v>65</v>
      </c>
      <c r="AK171" t="s">
        <v>81</v>
      </c>
      <c r="AL171" t="s">
        <v>102</v>
      </c>
      <c r="AM171" t="s">
        <v>137</v>
      </c>
      <c r="AN171" t="s">
        <v>68</v>
      </c>
      <c r="AO171" t="s">
        <v>137</v>
      </c>
      <c r="AP171" t="s">
        <v>107</v>
      </c>
      <c r="AQ171" t="s">
        <v>137</v>
      </c>
      <c r="AR171" s="25">
        <v>8</v>
      </c>
      <c r="AS171" t="s">
        <v>379</v>
      </c>
    </row>
    <row r="172" spans="1:45" x14ac:dyDescent="0.3">
      <c r="A172">
        <v>171</v>
      </c>
      <c r="B172" s="24">
        <v>46218.416759259257</v>
      </c>
      <c r="C172" s="24">
        <v>46218.420034722221</v>
      </c>
      <c r="D172" t="s">
        <v>45</v>
      </c>
      <c r="F172" s="1"/>
      <c r="G172" t="s">
        <v>46</v>
      </c>
      <c r="H172" t="s">
        <v>91</v>
      </c>
      <c r="I172" t="s">
        <v>101</v>
      </c>
      <c r="J172" t="s">
        <v>104</v>
      </c>
      <c r="K172" t="s">
        <v>109</v>
      </c>
      <c r="L172" t="s">
        <v>51</v>
      </c>
      <c r="M172" t="s">
        <v>51</v>
      </c>
      <c r="N172" t="s">
        <v>116</v>
      </c>
      <c r="O172" t="s">
        <v>53</v>
      </c>
      <c r="P172" t="s">
        <v>54</v>
      </c>
      <c r="Q172" t="s">
        <v>55</v>
      </c>
      <c r="R172" t="s">
        <v>56</v>
      </c>
      <c r="S172" t="s">
        <v>57</v>
      </c>
      <c r="T172" t="s">
        <v>93</v>
      </c>
      <c r="U172" t="s">
        <v>79</v>
      </c>
      <c r="V172" t="s">
        <v>79</v>
      </c>
      <c r="W172" t="s">
        <v>79</v>
      </c>
      <c r="X172" t="s">
        <v>79</v>
      </c>
      <c r="Y172" t="s">
        <v>79</v>
      </c>
      <c r="Z172" t="s">
        <v>79</v>
      </c>
      <c r="AA172" t="s">
        <v>79</v>
      </c>
      <c r="AB172" t="s">
        <v>79</v>
      </c>
      <c r="AC172" t="s">
        <v>79</v>
      </c>
      <c r="AD172" t="s">
        <v>60</v>
      </c>
      <c r="AE172" t="s">
        <v>61</v>
      </c>
      <c r="AF172" t="s">
        <v>62</v>
      </c>
      <c r="AG172" t="s">
        <v>63</v>
      </c>
      <c r="AH172" t="s">
        <v>63</v>
      </c>
      <c r="AI172" t="s">
        <v>63</v>
      </c>
      <c r="AJ172" t="s">
        <v>65</v>
      </c>
      <c r="AK172" t="s">
        <v>63</v>
      </c>
      <c r="AL172" t="s">
        <v>66</v>
      </c>
      <c r="AM172" t="s">
        <v>67</v>
      </c>
      <c r="AN172" t="s">
        <v>175</v>
      </c>
      <c r="AO172" t="s">
        <v>63</v>
      </c>
      <c r="AP172" t="s">
        <v>69</v>
      </c>
      <c r="AQ172" t="s">
        <v>63</v>
      </c>
      <c r="AR172" s="25">
        <v>8</v>
      </c>
      <c r="AS172" t="s">
        <v>380</v>
      </c>
    </row>
    <row r="173" spans="1:45" x14ac:dyDescent="0.3">
      <c r="A173">
        <v>172</v>
      </c>
      <c r="B173" s="24">
        <v>46218.418379629627</v>
      </c>
      <c r="C173" s="24">
        <v>46218.420277777775</v>
      </c>
      <c r="D173" t="s">
        <v>45</v>
      </c>
      <c r="F173" s="1"/>
      <c r="G173" t="s">
        <v>46</v>
      </c>
      <c r="H173" t="s">
        <v>47</v>
      </c>
      <c r="I173" t="s">
        <v>101</v>
      </c>
      <c r="J173" t="s">
        <v>104</v>
      </c>
      <c r="K173" t="s">
        <v>284</v>
      </c>
      <c r="L173" t="s">
        <v>73</v>
      </c>
      <c r="M173" t="s">
        <v>73</v>
      </c>
      <c r="N173" t="s">
        <v>52</v>
      </c>
      <c r="O173" t="s">
        <v>53</v>
      </c>
      <c r="P173" t="s">
        <v>74</v>
      </c>
      <c r="Q173" t="s">
        <v>55</v>
      </c>
      <c r="R173" t="s">
        <v>76</v>
      </c>
      <c r="S173" t="s">
        <v>77</v>
      </c>
      <c r="T173" t="s">
        <v>93</v>
      </c>
      <c r="U173" t="s">
        <v>79</v>
      </c>
      <c r="V173" t="s">
        <v>79</v>
      </c>
      <c r="W173" t="s">
        <v>59</v>
      </c>
      <c r="X173" t="s">
        <v>59</v>
      </c>
      <c r="Y173" t="s">
        <v>79</v>
      </c>
      <c r="Z173" t="s">
        <v>79</v>
      </c>
      <c r="AA173" t="s">
        <v>79</v>
      </c>
      <c r="AB173" t="s">
        <v>59</v>
      </c>
      <c r="AC173" t="s">
        <v>79</v>
      </c>
      <c r="AD173" t="s">
        <v>80</v>
      </c>
      <c r="AE173" t="s">
        <v>61</v>
      </c>
      <c r="AF173" t="s">
        <v>62</v>
      </c>
      <c r="AG173" t="s">
        <v>63</v>
      </c>
      <c r="AH173" t="s">
        <v>63</v>
      </c>
      <c r="AI173" t="s">
        <v>63</v>
      </c>
      <c r="AJ173" t="s">
        <v>65</v>
      </c>
      <c r="AK173" t="s">
        <v>64</v>
      </c>
      <c r="AL173" t="s">
        <v>120</v>
      </c>
      <c r="AM173" t="s">
        <v>67</v>
      </c>
      <c r="AN173" t="s">
        <v>89</v>
      </c>
      <c r="AO173" t="s">
        <v>63</v>
      </c>
      <c r="AP173" t="s">
        <v>98</v>
      </c>
      <c r="AQ173" t="s">
        <v>63</v>
      </c>
      <c r="AR173" s="25">
        <v>8</v>
      </c>
      <c r="AS173" t="s">
        <v>381</v>
      </c>
    </row>
    <row r="174" spans="1:45" x14ac:dyDescent="0.3">
      <c r="A174">
        <v>173</v>
      </c>
      <c r="B174" s="24">
        <v>46218.417812500003</v>
      </c>
      <c r="C174" s="24">
        <v>46218.424722222226</v>
      </c>
      <c r="D174" t="s">
        <v>45</v>
      </c>
      <c r="F174" s="1"/>
      <c r="G174" t="s">
        <v>100</v>
      </c>
      <c r="H174" t="s">
        <v>318</v>
      </c>
      <c r="I174" t="s">
        <v>101</v>
      </c>
      <c r="J174" t="s">
        <v>49</v>
      </c>
      <c r="K174" t="s">
        <v>109</v>
      </c>
      <c r="L174" t="s">
        <v>73</v>
      </c>
      <c r="M174" t="s">
        <v>73</v>
      </c>
      <c r="N174" t="s">
        <v>52</v>
      </c>
      <c r="O174" t="s">
        <v>53</v>
      </c>
      <c r="P174" t="s">
        <v>74</v>
      </c>
      <c r="Q174" t="s">
        <v>75</v>
      </c>
      <c r="R174" t="s">
        <v>76</v>
      </c>
      <c r="S174" t="s">
        <v>77</v>
      </c>
      <c r="T174" t="s">
        <v>58</v>
      </c>
      <c r="U174" t="s">
        <v>59</v>
      </c>
      <c r="V174" t="s">
        <v>59</v>
      </c>
      <c r="W174" t="s">
        <v>79</v>
      </c>
      <c r="X174" t="s">
        <v>59</v>
      </c>
      <c r="Y174" t="s">
        <v>79</v>
      </c>
      <c r="Z174" t="s">
        <v>79</v>
      </c>
      <c r="AA174" t="s">
        <v>79</v>
      </c>
      <c r="AB174" t="s">
        <v>59</v>
      </c>
      <c r="AC174" t="s">
        <v>79</v>
      </c>
      <c r="AD174" t="s">
        <v>60</v>
      </c>
      <c r="AE174" t="s">
        <v>88</v>
      </c>
      <c r="AF174" t="s">
        <v>147</v>
      </c>
      <c r="AG174" t="s">
        <v>81</v>
      </c>
      <c r="AH174" t="s">
        <v>81</v>
      </c>
      <c r="AI174" t="s">
        <v>63</v>
      </c>
      <c r="AJ174" t="s">
        <v>82</v>
      </c>
      <c r="AK174" t="s">
        <v>63</v>
      </c>
      <c r="AL174" t="s">
        <v>120</v>
      </c>
      <c r="AM174" t="s">
        <v>67</v>
      </c>
      <c r="AN174" t="s">
        <v>89</v>
      </c>
      <c r="AO174" t="s">
        <v>63</v>
      </c>
      <c r="AP174" t="s">
        <v>107</v>
      </c>
      <c r="AQ174" t="s">
        <v>63</v>
      </c>
      <c r="AR174" s="25">
        <v>7</v>
      </c>
      <c r="AS174" t="s">
        <v>382</v>
      </c>
    </row>
    <row r="175" spans="1:45" x14ac:dyDescent="0.3">
      <c r="A175">
        <v>174</v>
      </c>
      <c r="B175" s="24">
        <v>46218.425983796296</v>
      </c>
      <c r="C175" s="24">
        <v>46218.430138888885</v>
      </c>
      <c r="D175" t="s">
        <v>45</v>
      </c>
      <c r="F175" s="1"/>
      <c r="G175" t="s">
        <v>46</v>
      </c>
      <c r="H175" t="s">
        <v>91</v>
      </c>
      <c r="I175" t="s">
        <v>48</v>
      </c>
      <c r="J175" t="s">
        <v>49</v>
      </c>
      <c r="K175" t="s">
        <v>97</v>
      </c>
      <c r="L175" t="s">
        <v>73</v>
      </c>
      <c r="M175" t="s">
        <v>73</v>
      </c>
      <c r="N175" t="s">
        <v>52</v>
      </c>
      <c r="O175" t="s">
        <v>53</v>
      </c>
      <c r="P175" t="s">
        <v>74</v>
      </c>
      <c r="Q175" t="s">
        <v>75</v>
      </c>
      <c r="R175" t="s">
        <v>76</v>
      </c>
      <c r="S175" t="s">
        <v>77</v>
      </c>
      <c r="T175" t="s">
        <v>58</v>
      </c>
      <c r="U175" t="s">
        <v>59</v>
      </c>
      <c r="V175" t="s">
        <v>59</v>
      </c>
      <c r="W175" t="s">
        <v>59</v>
      </c>
      <c r="X175" t="s">
        <v>79</v>
      </c>
      <c r="Y175" t="s">
        <v>79</v>
      </c>
      <c r="Z175" t="s">
        <v>59</v>
      </c>
      <c r="AA175" t="s">
        <v>59</v>
      </c>
      <c r="AB175" t="s">
        <v>59</v>
      </c>
      <c r="AC175" t="s">
        <v>79</v>
      </c>
      <c r="AD175" t="s">
        <v>60</v>
      </c>
      <c r="AE175" t="s">
        <v>88</v>
      </c>
      <c r="AF175" t="s">
        <v>147</v>
      </c>
      <c r="AG175" t="s">
        <v>81</v>
      </c>
      <c r="AH175" t="s">
        <v>63</v>
      </c>
      <c r="AI175" t="s">
        <v>63</v>
      </c>
      <c r="AJ175" t="s">
        <v>82</v>
      </c>
      <c r="AK175" t="s">
        <v>63</v>
      </c>
      <c r="AL175" t="s">
        <v>66</v>
      </c>
      <c r="AM175" t="s">
        <v>67</v>
      </c>
      <c r="AN175" t="s">
        <v>89</v>
      </c>
      <c r="AO175" t="s">
        <v>63</v>
      </c>
      <c r="AP175" t="s">
        <v>107</v>
      </c>
      <c r="AQ175" t="s">
        <v>63</v>
      </c>
      <c r="AR175" s="25">
        <v>7</v>
      </c>
      <c r="AS175" t="s">
        <v>355</v>
      </c>
    </row>
    <row r="176" spans="1:45" x14ac:dyDescent="0.3">
      <c r="A176">
        <v>175</v>
      </c>
      <c r="B176" s="24">
        <v>46218.429247685184</v>
      </c>
      <c r="C176" s="24">
        <v>46218.436562499999</v>
      </c>
      <c r="D176" t="s">
        <v>45</v>
      </c>
      <c r="F176" s="1"/>
      <c r="G176" t="s">
        <v>100</v>
      </c>
      <c r="H176" t="s">
        <v>47</v>
      </c>
      <c r="I176" t="s">
        <v>113</v>
      </c>
      <c r="J176" t="s">
        <v>49</v>
      </c>
      <c r="K176" t="s">
        <v>97</v>
      </c>
      <c r="L176" t="s">
        <v>51</v>
      </c>
      <c r="M176" t="s">
        <v>73</v>
      </c>
      <c r="N176" t="s">
        <v>52</v>
      </c>
      <c r="O176" t="s">
        <v>53</v>
      </c>
      <c r="P176" t="s">
        <v>74</v>
      </c>
      <c r="Q176" t="s">
        <v>75</v>
      </c>
      <c r="R176" t="s">
        <v>76</v>
      </c>
      <c r="S176" t="s">
        <v>77</v>
      </c>
      <c r="T176" t="s">
        <v>58</v>
      </c>
      <c r="U176" t="s">
        <v>59</v>
      </c>
      <c r="V176" t="s">
        <v>59</v>
      </c>
      <c r="W176" t="s">
        <v>59</v>
      </c>
      <c r="X176" t="s">
        <v>59</v>
      </c>
      <c r="Y176" t="s">
        <v>59</v>
      </c>
      <c r="Z176" t="s">
        <v>59</v>
      </c>
      <c r="AA176" t="s">
        <v>59</v>
      </c>
      <c r="AB176" t="s">
        <v>59</v>
      </c>
      <c r="AC176" t="s">
        <v>59</v>
      </c>
      <c r="AD176" t="s">
        <v>60</v>
      </c>
      <c r="AE176" t="s">
        <v>94</v>
      </c>
      <c r="AF176" t="s">
        <v>62</v>
      </c>
      <c r="AG176" t="s">
        <v>63</v>
      </c>
      <c r="AH176" t="s">
        <v>63</v>
      </c>
      <c r="AI176" t="s">
        <v>63</v>
      </c>
      <c r="AJ176" t="s">
        <v>82</v>
      </c>
      <c r="AK176" t="s">
        <v>63</v>
      </c>
      <c r="AL176" t="s">
        <v>102</v>
      </c>
      <c r="AM176" t="s">
        <v>67</v>
      </c>
      <c r="AN176" t="s">
        <v>68</v>
      </c>
      <c r="AO176" t="s">
        <v>63</v>
      </c>
      <c r="AP176" t="s">
        <v>107</v>
      </c>
      <c r="AQ176" t="s">
        <v>63</v>
      </c>
      <c r="AR176" s="25">
        <v>10</v>
      </c>
      <c r="AS176" t="s">
        <v>383</v>
      </c>
    </row>
    <row r="177" spans="1:45" x14ac:dyDescent="0.3">
      <c r="A177">
        <v>176</v>
      </c>
      <c r="B177" s="24">
        <v>46218.434976851851</v>
      </c>
      <c r="C177" s="24">
        <v>46218.441655092596</v>
      </c>
      <c r="D177" t="s">
        <v>45</v>
      </c>
      <c r="F177" s="1"/>
      <c r="G177" t="s">
        <v>46</v>
      </c>
      <c r="H177" t="s">
        <v>91</v>
      </c>
      <c r="I177" t="s">
        <v>101</v>
      </c>
      <c r="J177" t="s">
        <v>186</v>
      </c>
      <c r="K177" t="s">
        <v>109</v>
      </c>
      <c r="L177" t="s">
        <v>73</v>
      </c>
      <c r="M177" t="s">
        <v>73</v>
      </c>
      <c r="N177" t="s">
        <v>52</v>
      </c>
      <c r="O177" t="s">
        <v>53</v>
      </c>
      <c r="P177" t="s">
        <v>74</v>
      </c>
      <c r="Q177" t="s">
        <v>75</v>
      </c>
      <c r="R177" t="s">
        <v>76</v>
      </c>
      <c r="S177" t="s">
        <v>77</v>
      </c>
      <c r="T177" t="s">
        <v>58</v>
      </c>
      <c r="U177" t="s">
        <v>59</v>
      </c>
      <c r="V177" t="s">
        <v>79</v>
      </c>
      <c r="W177" t="s">
        <v>59</v>
      </c>
      <c r="X177" t="s">
        <v>79</v>
      </c>
      <c r="Y177" t="s">
        <v>79</v>
      </c>
      <c r="Z177" t="s">
        <v>59</v>
      </c>
      <c r="AA177" t="s">
        <v>79</v>
      </c>
      <c r="AB177" t="s">
        <v>79</v>
      </c>
      <c r="AC177" t="s">
        <v>59</v>
      </c>
      <c r="AD177" t="s">
        <v>60</v>
      </c>
      <c r="AE177" t="s">
        <v>88</v>
      </c>
      <c r="AF177" t="s">
        <v>147</v>
      </c>
      <c r="AG177" t="s">
        <v>81</v>
      </c>
      <c r="AH177" t="s">
        <v>81</v>
      </c>
      <c r="AI177" t="s">
        <v>63</v>
      </c>
      <c r="AJ177" t="s">
        <v>82</v>
      </c>
      <c r="AK177" t="s">
        <v>63</v>
      </c>
      <c r="AL177" t="s">
        <v>66</v>
      </c>
      <c r="AM177" t="s">
        <v>121</v>
      </c>
      <c r="AN177" t="s">
        <v>89</v>
      </c>
      <c r="AO177" t="s">
        <v>63</v>
      </c>
      <c r="AP177" t="s">
        <v>107</v>
      </c>
      <c r="AQ177" t="s">
        <v>63</v>
      </c>
      <c r="AR177" s="25">
        <v>7</v>
      </c>
      <c r="AS177" t="s">
        <v>384</v>
      </c>
    </row>
    <row r="178" spans="1:45" x14ac:dyDescent="0.3">
      <c r="A178">
        <v>177</v>
      </c>
      <c r="B178" s="24">
        <v>46218.436238425929</v>
      </c>
      <c r="C178" s="24">
        <v>46218.442071759258</v>
      </c>
      <c r="D178" t="s">
        <v>45</v>
      </c>
      <c r="F178" s="1"/>
      <c r="G178" t="s">
        <v>100</v>
      </c>
      <c r="H178" t="s">
        <v>47</v>
      </c>
      <c r="I178" t="s">
        <v>101</v>
      </c>
      <c r="J178" t="s">
        <v>49</v>
      </c>
      <c r="K178" t="s">
        <v>385</v>
      </c>
      <c r="L178" t="s">
        <v>73</v>
      </c>
      <c r="M178" t="s">
        <v>73</v>
      </c>
      <c r="N178" t="s">
        <v>52</v>
      </c>
      <c r="O178" t="s">
        <v>228</v>
      </c>
      <c r="P178" t="s">
        <v>74</v>
      </c>
      <c r="Q178" t="s">
        <v>75</v>
      </c>
      <c r="R178" t="s">
        <v>76</v>
      </c>
      <c r="S178" t="s">
        <v>77</v>
      </c>
      <c r="T178" t="s">
        <v>58</v>
      </c>
      <c r="U178" t="s">
        <v>79</v>
      </c>
      <c r="V178" t="s">
        <v>59</v>
      </c>
      <c r="W178" t="s">
        <v>59</v>
      </c>
      <c r="X178" t="s">
        <v>59</v>
      </c>
      <c r="Y178" t="s">
        <v>79</v>
      </c>
      <c r="Z178" t="s">
        <v>79</v>
      </c>
      <c r="AA178" t="s">
        <v>87</v>
      </c>
      <c r="AB178" t="s">
        <v>79</v>
      </c>
      <c r="AC178" t="s">
        <v>59</v>
      </c>
      <c r="AD178" t="s">
        <v>60</v>
      </c>
      <c r="AE178" t="s">
        <v>61</v>
      </c>
      <c r="AF178" t="s">
        <v>62</v>
      </c>
      <c r="AG178" t="s">
        <v>63</v>
      </c>
      <c r="AH178" t="s">
        <v>63</v>
      </c>
      <c r="AI178" t="s">
        <v>63</v>
      </c>
      <c r="AJ178" t="s">
        <v>82</v>
      </c>
      <c r="AK178" t="s">
        <v>63</v>
      </c>
      <c r="AL178" t="s">
        <v>120</v>
      </c>
      <c r="AM178" t="s">
        <v>67</v>
      </c>
      <c r="AN178" t="s">
        <v>68</v>
      </c>
      <c r="AO178" t="s">
        <v>137</v>
      </c>
      <c r="AP178" t="s">
        <v>107</v>
      </c>
      <c r="AQ178" t="s">
        <v>81</v>
      </c>
      <c r="AR178" s="25">
        <v>8</v>
      </c>
      <c r="AS178" s="3" t="s">
        <v>386</v>
      </c>
    </row>
    <row r="179" spans="1:45" x14ac:dyDescent="0.3">
      <c r="A179">
        <v>178</v>
      </c>
      <c r="B179" s="24">
        <v>46218.438298611109</v>
      </c>
      <c r="C179" s="24">
        <v>46218.448541666665</v>
      </c>
      <c r="D179" t="s">
        <v>45</v>
      </c>
      <c r="F179" s="1"/>
      <c r="G179" t="s">
        <v>100</v>
      </c>
      <c r="H179" t="s">
        <v>47</v>
      </c>
      <c r="I179" t="s">
        <v>48</v>
      </c>
      <c r="J179" t="s">
        <v>49</v>
      </c>
      <c r="K179" t="s">
        <v>262</v>
      </c>
      <c r="L179" t="s">
        <v>73</v>
      </c>
      <c r="M179" t="s">
        <v>73</v>
      </c>
      <c r="N179" t="s">
        <v>52</v>
      </c>
      <c r="O179" t="s">
        <v>53</v>
      </c>
      <c r="P179" t="s">
        <v>74</v>
      </c>
      <c r="Q179" t="s">
        <v>75</v>
      </c>
      <c r="R179" t="s">
        <v>76</v>
      </c>
      <c r="S179" t="s">
        <v>77</v>
      </c>
      <c r="T179" t="s">
        <v>78</v>
      </c>
      <c r="U179" t="s">
        <v>79</v>
      </c>
      <c r="V179" t="s">
        <v>59</v>
      </c>
      <c r="W179" t="s">
        <v>79</v>
      </c>
      <c r="X179" t="s">
        <v>79</v>
      </c>
      <c r="Y179" t="s">
        <v>79</v>
      </c>
      <c r="Z179" t="s">
        <v>79</v>
      </c>
      <c r="AA179" t="s">
        <v>79</v>
      </c>
      <c r="AB179" t="s">
        <v>79</v>
      </c>
      <c r="AC179" t="s">
        <v>79</v>
      </c>
      <c r="AD179" t="s">
        <v>80</v>
      </c>
      <c r="AE179" t="s">
        <v>88</v>
      </c>
      <c r="AF179" t="s">
        <v>62</v>
      </c>
      <c r="AG179" t="s">
        <v>81</v>
      </c>
      <c r="AH179" t="s">
        <v>81</v>
      </c>
      <c r="AI179" t="s">
        <v>81</v>
      </c>
      <c r="AJ179" t="s">
        <v>82</v>
      </c>
      <c r="AK179" t="s">
        <v>81</v>
      </c>
      <c r="AL179" t="s">
        <v>120</v>
      </c>
      <c r="AM179" t="s">
        <v>137</v>
      </c>
      <c r="AN179" t="s">
        <v>68</v>
      </c>
      <c r="AO179" t="s">
        <v>81</v>
      </c>
      <c r="AP179" t="s">
        <v>107</v>
      </c>
      <c r="AQ179" t="s">
        <v>81</v>
      </c>
      <c r="AR179" s="25">
        <v>7</v>
      </c>
      <c r="AS179" t="s">
        <v>387</v>
      </c>
    </row>
    <row r="180" spans="1:45" x14ac:dyDescent="0.3">
      <c r="A180">
        <v>179</v>
      </c>
      <c r="B180" s="24">
        <v>46218.450127314813</v>
      </c>
      <c r="C180" s="24">
        <v>46218.45484953704</v>
      </c>
      <c r="D180" t="s">
        <v>45</v>
      </c>
      <c r="F180" s="1"/>
      <c r="G180" t="s">
        <v>46</v>
      </c>
      <c r="H180" t="s">
        <v>91</v>
      </c>
      <c r="I180" t="s">
        <v>48</v>
      </c>
      <c r="J180" t="s">
        <v>186</v>
      </c>
      <c r="K180" t="s">
        <v>189</v>
      </c>
      <c r="L180" t="s">
        <v>73</v>
      </c>
      <c r="M180" t="s">
        <v>73</v>
      </c>
      <c r="N180" t="s">
        <v>52</v>
      </c>
      <c r="O180" t="s">
        <v>53</v>
      </c>
      <c r="P180" t="s">
        <v>74</v>
      </c>
      <c r="Q180" t="s">
        <v>75</v>
      </c>
      <c r="R180" t="s">
        <v>76</v>
      </c>
      <c r="S180" t="s">
        <v>77</v>
      </c>
      <c r="T180" t="s">
        <v>58</v>
      </c>
      <c r="U180" t="s">
        <v>59</v>
      </c>
      <c r="V180" t="s">
        <v>59</v>
      </c>
      <c r="W180" t="s">
        <v>59</v>
      </c>
      <c r="X180" t="s">
        <v>79</v>
      </c>
      <c r="Y180" t="s">
        <v>79</v>
      </c>
      <c r="Z180" t="s">
        <v>59</v>
      </c>
      <c r="AA180" t="s">
        <v>79</v>
      </c>
      <c r="AB180" t="s">
        <v>79</v>
      </c>
      <c r="AC180" t="s">
        <v>59</v>
      </c>
      <c r="AD180" t="s">
        <v>60</v>
      </c>
      <c r="AE180" t="s">
        <v>88</v>
      </c>
      <c r="AF180" t="s">
        <v>173</v>
      </c>
      <c r="AG180" t="s">
        <v>81</v>
      </c>
      <c r="AH180" t="s">
        <v>81</v>
      </c>
      <c r="AI180" t="s">
        <v>63</v>
      </c>
      <c r="AJ180" t="s">
        <v>82</v>
      </c>
      <c r="AK180" t="s">
        <v>63</v>
      </c>
      <c r="AL180" t="s">
        <v>66</v>
      </c>
      <c r="AM180" t="s">
        <v>67</v>
      </c>
      <c r="AN180" t="s">
        <v>89</v>
      </c>
      <c r="AO180" t="s">
        <v>63</v>
      </c>
      <c r="AP180" t="s">
        <v>107</v>
      </c>
      <c r="AQ180" t="s">
        <v>63</v>
      </c>
      <c r="AR180" s="25">
        <v>8</v>
      </c>
      <c r="AS180" t="s">
        <v>388</v>
      </c>
    </row>
    <row r="181" spans="1:45" x14ac:dyDescent="0.3">
      <c r="A181">
        <v>180</v>
      </c>
      <c r="B181" s="24">
        <v>46218.476273148146</v>
      </c>
      <c r="C181" s="24">
        <v>46218.480613425927</v>
      </c>
      <c r="D181" t="s">
        <v>45</v>
      </c>
      <c r="F181" s="1"/>
      <c r="G181" t="s">
        <v>100</v>
      </c>
      <c r="H181" t="s">
        <v>91</v>
      </c>
      <c r="I181" t="s">
        <v>133</v>
      </c>
      <c r="J181" t="s">
        <v>104</v>
      </c>
      <c r="K181" t="s">
        <v>109</v>
      </c>
      <c r="L181" t="s">
        <v>73</v>
      </c>
      <c r="M181" t="s">
        <v>73</v>
      </c>
      <c r="N181" t="s">
        <v>52</v>
      </c>
      <c r="O181" t="s">
        <v>53</v>
      </c>
      <c r="P181" t="s">
        <v>74</v>
      </c>
      <c r="Q181" t="s">
        <v>75</v>
      </c>
      <c r="R181" t="s">
        <v>56</v>
      </c>
      <c r="S181" t="s">
        <v>57</v>
      </c>
      <c r="T181" t="s">
        <v>58</v>
      </c>
      <c r="U181" t="s">
        <v>86</v>
      </c>
      <c r="V181" t="s">
        <v>86</v>
      </c>
      <c r="W181" t="s">
        <v>86</v>
      </c>
      <c r="X181" t="s">
        <v>86</v>
      </c>
      <c r="Y181" t="s">
        <v>86</v>
      </c>
      <c r="Z181" t="s">
        <v>86</v>
      </c>
      <c r="AA181" t="s">
        <v>86</v>
      </c>
      <c r="AB181" t="s">
        <v>86</v>
      </c>
      <c r="AC181" t="s">
        <v>86</v>
      </c>
      <c r="AD181" t="s">
        <v>60</v>
      </c>
      <c r="AE181" t="s">
        <v>61</v>
      </c>
      <c r="AF181" t="s">
        <v>62</v>
      </c>
      <c r="AG181" t="s">
        <v>63</v>
      </c>
      <c r="AH181" t="s">
        <v>63</v>
      </c>
      <c r="AI181" t="s">
        <v>63</v>
      </c>
      <c r="AJ181" t="s">
        <v>82</v>
      </c>
      <c r="AK181" t="s">
        <v>63</v>
      </c>
      <c r="AL181" t="s">
        <v>102</v>
      </c>
      <c r="AM181" t="s">
        <v>121</v>
      </c>
      <c r="AN181" t="s">
        <v>89</v>
      </c>
      <c r="AO181" t="s">
        <v>63</v>
      </c>
      <c r="AP181" t="s">
        <v>69</v>
      </c>
      <c r="AQ181" t="s">
        <v>63</v>
      </c>
      <c r="AR181" s="25">
        <v>10</v>
      </c>
      <c r="AS181" t="s">
        <v>389</v>
      </c>
    </row>
    <row r="182" spans="1:45" x14ac:dyDescent="0.3">
      <c r="A182">
        <v>181</v>
      </c>
      <c r="B182" s="24">
        <v>46218.486840277779</v>
      </c>
      <c r="C182" s="24">
        <v>46218.500185185185</v>
      </c>
      <c r="D182" t="s">
        <v>45</v>
      </c>
      <c r="F182" s="1"/>
      <c r="G182" t="s">
        <v>100</v>
      </c>
      <c r="H182" t="s">
        <v>47</v>
      </c>
      <c r="I182" t="s">
        <v>101</v>
      </c>
      <c r="J182" t="s">
        <v>49</v>
      </c>
      <c r="K182" t="s">
        <v>390</v>
      </c>
      <c r="L182" t="s">
        <v>73</v>
      </c>
      <c r="M182" t="s">
        <v>146</v>
      </c>
      <c r="N182" t="s">
        <v>52</v>
      </c>
      <c r="O182" t="s">
        <v>53</v>
      </c>
      <c r="P182" t="s">
        <v>74</v>
      </c>
      <c r="Q182" t="s">
        <v>75</v>
      </c>
      <c r="R182" t="s">
        <v>76</v>
      </c>
      <c r="S182" t="s">
        <v>77</v>
      </c>
      <c r="T182" t="s">
        <v>58</v>
      </c>
      <c r="U182" t="s">
        <v>86</v>
      </c>
      <c r="V182" t="s">
        <v>87</v>
      </c>
      <c r="W182" t="s">
        <v>79</v>
      </c>
      <c r="X182" t="s">
        <v>79</v>
      </c>
      <c r="Y182" t="s">
        <v>59</v>
      </c>
      <c r="Z182" t="s">
        <v>87</v>
      </c>
      <c r="AA182" t="s">
        <v>79</v>
      </c>
      <c r="AB182" t="s">
        <v>59</v>
      </c>
      <c r="AC182" t="s">
        <v>86</v>
      </c>
      <c r="AD182" t="s">
        <v>60</v>
      </c>
      <c r="AE182" t="s">
        <v>88</v>
      </c>
      <c r="AF182" t="s">
        <v>62</v>
      </c>
      <c r="AG182" t="s">
        <v>63</v>
      </c>
      <c r="AH182" t="s">
        <v>63</v>
      </c>
      <c r="AI182" t="s">
        <v>63</v>
      </c>
      <c r="AJ182" t="s">
        <v>82</v>
      </c>
      <c r="AK182" t="s">
        <v>63</v>
      </c>
      <c r="AL182" t="s">
        <v>120</v>
      </c>
      <c r="AM182" t="s">
        <v>67</v>
      </c>
      <c r="AN182" t="s">
        <v>68</v>
      </c>
      <c r="AO182" t="s">
        <v>137</v>
      </c>
      <c r="AP182" t="s">
        <v>107</v>
      </c>
      <c r="AQ182" t="s">
        <v>81</v>
      </c>
      <c r="AR182" s="25">
        <v>8</v>
      </c>
      <c r="AS182" t="s">
        <v>391</v>
      </c>
    </row>
    <row r="183" spans="1:45" x14ac:dyDescent="0.3">
      <c r="A183">
        <v>182</v>
      </c>
      <c r="B183" s="24">
        <v>46218.61</v>
      </c>
      <c r="C183" s="24">
        <v>46218.61173611111</v>
      </c>
      <c r="D183" t="s">
        <v>45</v>
      </c>
      <c r="F183" s="1"/>
      <c r="G183" t="s">
        <v>100</v>
      </c>
      <c r="H183" t="s">
        <v>91</v>
      </c>
      <c r="I183" t="s">
        <v>113</v>
      </c>
      <c r="J183" t="s">
        <v>49</v>
      </c>
      <c r="K183" t="s">
        <v>392</v>
      </c>
      <c r="L183" t="s">
        <v>73</v>
      </c>
      <c r="M183" t="s">
        <v>51</v>
      </c>
      <c r="N183" t="s">
        <v>52</v>
      </c>
      <c r="O183" t="s">
        <v>228</v>
      </c>
      <c r="P183" t="s">
        <v>74</v>
      </c>
      <c r="Q183" t="s">
        <v>75</v>
      </c>
      <c r="R183" t="s">
        <v>56</v>
      </c>
      <c r="S183" t="s">
        <v>57</v>
      </c>
      <c r="T183" t="s">
        <v>93</v>
      </c>
      <c r="U183" t="s">
        <v>86</v>
      </c>
      <c r="V183" t="s">
        <v>87</v>
      </c>
      <c r="W183" t="s">
        <v>86</v>
      </c>
      <c r="X183" t="s">
        <v>86</v>
      </c>
      <c r="Y183" t="s">
        <v>87</v>
      </c>
      <c r="Z183" t="s">
        <v>87</v>
      </c>
      <c r="AA183" t="s">
        <v>86</v>
      </c>
      <c r="AB183" t="s">
        <v>86</v>
      </c>
      <c r="AC183" t="s">
        <v>86</v>
      </c>
      <c r="AD183" t="s">
        <v>60</v>
      </c>
      <c r="AE183" t="s">
        <v>94</v>
      </c>
      <c r="AF183" t="s">
        <v>62</v>
      </c>
      <c r="AG183" t="s">
        <v>63</v>
      </c>
      <c r="AH183" t="s">
        <v>63</v>
      </c>
      <c r="AI183" t="s">
        <v>63</v>
      </c>
      <c r="AJ183" t="s">
        <v>82</v>
      </c>
      <c r="AK183" t="s">
        <v>63</v>
      </c>
      <c r="AL183" t="s">
        <v>102</v>
      </c>
      <c r="AM183" t="s">
        <v>121</v>
      </c>
      <c r="AN183" t="s">
        <v>89</v>
      </c>
      <c r="AO183" t="s">
        <v>63</v>
      </c>
      <c r="AP183" t="s">
        <v>69</v>
      </c>
      <c r="AQ183" t="s">
        <v>63</v>
      </c>
      <c r="AR183" s="25">
        <v>9</v>
      </c>
      <c r="AS183" s="3" t="s">
        <v>386</v>
      </c>
    </row>
    <row r="184" spans="1:45" x14ac:dyDescent="0.3">
      <c r="A184">
        <v>183</v>
      </c>
      <c r="B184" s="24">
        <v>46218.611956018518</v>
      </c>
      <c r="C184" s="24">
        <v>46218.61277777778</v>
      </c>
      <c r="D184" t="s">
        <v>45</v>
      </c>
      <c r="F184" s="1"/>
      <c r="G184" t="s">
        <v>100</v>
      </c>
      <c r="H184" t="s">
        <v>91</v>
      </c>
      <c r="I184" t="s">
        <v>48</v>
      </c>
      <c r="J184" t="s">
        <v>162</v>
      </c>
      <c r="K184" t="s">
        <v>393</v>
      </c>
      <c r="L184" t="s">
        <v>73</v>
      </c>
      <c r="M184" t="s">
        <v>51</v>
      </c>
      <c r="N184" t="s">
        <v>52</v>
      </c>
      <c r="O184" t="s">
        <v>53</v>
      </c>
      <c r="P184" t="s">
        <v>74</v>
      </c>
      <c r="Q184" t="s">
        <v>55</v>
      </c>
      <c r="R184" t="s">
        <v>56</v>
      </c>
      <c r="S184" t="s">
        <v>57</v>
      </c>
      <c r="T184" t="s">
        <v>93</v>
      </c>
      <c r="U184" t="s">
        <v>86</v>
      </c>
      <c r="V184" t="s">
        <v>86</v>
      </c>
      <c r="W184" t="s">
        <v>86</v>
      </c>
      <c r="X184" t="s">
        <v>86</v>
      </c>
      <c r="Y184" t="s">
        <v>87</v>
      </c>
      <c r="Z184" t="s">
        <v>86</v>
      </c>
      <c r="AA184" t="s">
        <v>86</v>
      </c>
      <c r="AB184" t="s">
        <v>87</v>
      </c>
      <c r="AC184" t="s">
        <v>87</v>
      </c>
      <c r="AD184" t="s">
        <v>80</v>
      </c>
      <c r="AE184" t="s">
        <v>61</v>
      </c>
      <c r="AF184" t="s">
        <v>119</v>
      </c>
      <c r="AG184" t="s">
        <v>64</v>
      </c>
      <c r="AH184" t="s">
        <v>64</v>
      </c>
      <c r="AI184" t="s">
        <v>63</v>
      </c>
      <c r="AJ184" t="s">
        <v>82</v>
      </c>
      <c r="AK184" t="s">
        <v>63</v>
      </c>
      <c r="AL184" t="s">
        <v>120</v>
      </c>
      <c r="AM184" t="s">
        <v>67</v>
      </c>
      <c r="AN184" t="s">
        <v>175</v>
      </c>
      <c r="AO184" t="s">
        <v>63</v>
      </c>
      <c r="AP184" t="s">
        <v>69</v>
      </c>
      <c r="AQ184" t="s">
        <v>64</v>
      </c>
      <c r="AR184" s="25">
        <v>8</v>
      </c>
      <c r="AS184" s="3" t="s">
        <v>386</v>
      </c>
    </row>
    <row r="185" spans="1:45" x14ac:dyDescent="0.3">
      <c r="A185">
        <v>184</v>
      </c>
      <c r="B185" s="24">
        <v>46218.616284722222</v>
      </c>
      <c r="C185" s="24">
        <v>46218.623611111114</v>
      </c>
      <c r="D185" t="s">
        <v>45</v>
      </c>
      <c r="F185" s="1"/>
      <c r="G185" t="s">
        <v>100</v>
      </c>
      <c r="H185" t="s">
        <v>47</v>
      </c>
      <c r="I185" t="s">
        <v>48</v>
      </c>
      <c r="J185" t="s">
        <v>49</v>
      </c>
      <c r="K185" t="s">
        <v>303</v>
      </c>
      <c r="L185" t="s">
        <v>146</v>
      </c>
      <c r="M185" t="s">
        <v>146</v>
      </c>
      <c r="N185" t="s">
        <v>52</v>
      </c>
      <c r="O185" t="s">
        <v>53</v>
      </c>
      <c r="P185" t="s">
        <v>74</v>
      </c>
      <c r="Q185" t="s">
        <v>75</v>
      </c>
      <c r="R185" t="s">
        <v>76</v>
      </c>
      <c r="S185" t="s">
        <v>77</v>
      </c>
      <c r="T185" t="s">
        <v>58</v>
      </c>
      <c r="U185" t="s">
        <v>59</v>
      </c>
      <c r="V185" t="s">
        <v>59</v>
      </c>
      <c r="W185" t="s">
        <v>59</v>
      </c>
      <c r="X185" t="s">
        <v>59</v>
      </c>
      <c r="Y185" t="s">
        <v>59</v>
      </c>
      <c r="Z185" t="s">
        <v>59</v>
      </c>
      <c r="AA185" t="s">
        <v>59</v>
      </c>
      <c r="AB185" t="s">
        <v>59</v>
      </c>
      <c r="AC185" t="s">
        <v>59</v>
      </c>
      <c r="AD185" t="s">
        <v>60</v>
      </c>
      <c r="AE185" t="s">
        <v>187</v>
      </c>
      <c r="AF185" t="s">
        <v>147</v>
      </c>
      <c r="AG185" t="s">
        <v>81</v>
      </c>
      <c r="AH185" t="s">
        <v>81</v>
      </c>
      <c r="AI185" t="s">
        <v>137</v>
      </c>
      <c r="AJ185" t="s">
        <v>82</v>
      </c>
      <c r="AK185" t="s">
        <v>81</v>
      </c>
      <c r="AL185" t="s">
        <v>120</v>
      </c>
      <c r="AM185" t="s">
        <v>67</v>
      </c>
      <c r="AN185" t="s">
        <v>175</v>
      </c>
      <c r="AO185" t="s">
        <v>63</v>
      </c>
      <c r="AP185" t="s">
        <v>107</v>
      </c>
      <c r="AQ185" t="s">
        <v>63</v>
      </c>
      <c r="AR185" s="25">
        <v>8</v>
      </c>
      <c r="AS185" t="s">
        <v>394</v>
      </c>
    </row>
    <row r="186" spans="1:45" x14ac:dyDescent="0.3">
      <c r="A186">
        <v>185</v>
      </c>
      <c r="B186" s="24">
        <v>46218.621203703704</v>
      </c>
      <c r="C186" s="24">
        <v>46218.62537037037</v>
      </c>
      <c r="D186" t="s">
        <v>45</v>
      </c>
      <c r="F186" s="1"/>
      <c r="G186" t="s">
        <v>46</v>
      </c>
      <c r="H186" t="s">
        <v>47</v>
      </c>
      <c r="I186" t="s">
        <v>48</v>
      </c>
      <c r="J186" t="s">
        <v>162</v>
      </c>
      <c r="K186" t="s">
        <v>160</v>
      </c>
      <c r="L186" t="s">
        <v>73</v>
      </c>
      <c r="M186" t="s">
        <v>73</v>
      </c>
      <c r="N186" t="s">
        <v>52</v>
      </c>
      <c r="O186" t="s">
        <v>53</v>
      </c>
      <c r="P186" t="s">
        <v>74</v>
      </c>
      <c r="Q186" t="s">
        <v>75</v>
      </c>
      <c r="R186" t="s">
        <v>76</v>
      </c>
      <c r="S186" t="s">
        <v>77</v>
      </c>
      <c r="T186" t="s">
        <v>58</v>
      </c>
      <c r="U186" t="s">
        <v>87</v>
      </c>
      <c r="V186" t="s">
        <v>87</v>
      </c>
      <c r="W186" t="s">
        <v>87</v>
      </c>
      <c r="X186" t="s">
        <v>87</v>
      </c>
      <c r="Y186" t="s">
        <v>79</v>
      </c>
      <c r="Z186" t="s">
        <v>79</v>
      </c>
      <c r="AA186" t="s">
        <v>87</v>
      </c>
      <c r="AB186" t="s">
        <v>79</v>
      </c>
      <c r="AC186" t="s">
        <v>87</v>
      </c>
      <c r="AD186" t="s">
        <v>60</v>
      </c>
      <c r="AE186" t="s">
        <v>88</v>
      </c>
      <c r="AF186" t="s">
        <v>147</v>
      </c>
      <c r="AG186" t="s">
        <v>63</v>
      </c>
      <c r="AH186" t="s">
        <v>63</v>
      </c>
      <c r="AI186" t="s">
        <v>63</v>
      </c>
      <c r="AJ186" t="s">
        <v>82</v>
      </c>
      <c r="AK186" t="s">
        <v>81</v>
      </c>
      <c r="AL186" t="s">
        <v>66</v>
      </c>
      <c r="AM186" t="s">
        <v>67</v>
      </c>
      <c r="AN186" t="s">
        <v>89</v>
      </c>
      <c r="AO186" t="s">
        <v>63</v>
      </c>
      <c r="AP186" t="s">
        <v>107</v>
      </c>
      <c r="AQ186" t="s">
        <v>63</v>
      </c>
      <c r="AR186" s="25">
        <v>8</v>
      </c>
      <c r="AS186" t="s">
        <v>395</v>
      </c>
    </row>
    <row r="187" spans="1:45" x14ac:dyDescent="0.3">
      <c r="A187">
        <v>186</v>
      </c>
      <c r="B187" s="24">
        <v>46218.625821759262</v>
      </c>
      <c r="C187" s="24">
        <v>46218.62841435185</v>
      </c>
      <c r="D187" t="s">
        <v>45</v>
      </c>
      <c r="F187" s="1"/>
      <c r="G187" t="s">
        <v>46</v>
      </c>
      <c r="H187" t="s">
        <v>47</v>
      </c>
      <c r="I187" t="s">
        <v>84</v>
      </c>
      <c r="J187" t="s">
        <v>49</v>
      </c>
      <c r="K187" t="s">
        <v>396</v>
      </c>
      <c r="L187" t="s">
        <v>73</v>
      </c>
      <c r="M187" t="s">
        <v>73</v>
      </c>
      <c r="N187" t="s">
        <v>52</v>
      </c>
      <c r="O187" t="s">
        <v>53</v>
      </c>
      <c r="P187" t="s">
        <v>74</v>
      </c>
      <c r="Q187" t="s">
        <v>75</v>
      </c>
      <c r="R187" t="s">
        <v>76</v>
      </c>
      <c r="S187" t="s">
        <v>77</v>
      </c>
      <c r="T187" t="s">
        <v>58</v>
      </c>
      <c r="U187" t="s">
        <v>87</v>
      </c>
      <c r="V187" t="s">
        <v>79</v>
      </c>
      <c r="W187" t="s">
        <v>87</v>
      </c>
      <c r="X187" t="s">
        <v>79</v>
      </c>
      <c r="Y187" t="s">
        <v>59</v>
      </c>
      <c r="Z187" t="s">
        <v>59</v>
      </c>
      <c r="AA187" t="s">
        <v>87</v>
      </c>
      <c r="AB187" t="s">
        <v>79</v>
      </c>
      <c r="AC187" t="s">
        <v>59</v>
      </c>
      <c r="AD187" t="s">
        <v>60</v>
      </c>
      <c r="AE187" t="s">
        <v>88</v>
      </c>
      <c r="AF187" t="s">
        <v>173</v>
      </c>
      <c r="AG187" t="s">
        <v>81</v>
      </c>
      <c r="AH187" t="s">
        <v>81</v>
      </c>
      <c r="AI187" t="s">
        <v>81</v>
      </c>
      <c r="AJ187" t="s">
        <v>82</v>
      </c>
      <c r="AK187" t="s">
        <v>63</v>
      </c>
      <c r="AL187" t="s">
        <v>66</v>
      </c>
      <c r="AM187" t="s">
        <v>67</v>
      </c>
      <c r="AN187" t="s">
        <v>89</v>
      </c>
      <c r="AO187" t="s">
        <v>63</v>
      </c>
      <c r="AP187" t="s">
        <v>107</v>
      </c>
      <c r="AQ187" t="s">
        <v>63</v>
      </c>
      <c r="AR187" s="25">
        <v>8</v>
      </c>
      <c r="AS187" t="s">
        <v>397</v>
      </c>
    </row>
    <row r="188" spans="1:45" x14ac:dyDescent="0.3">
      <c r="A188">
        <v>187</v>
      </c>
      <c r="B188" s="24">
        <v>46218.626180555555</v>
      </c>
      <c r="C188" s="24">
        <v>46218.628599537034</v>
      </c>
      <c r="D188" t="s">
        <v>45</v>
      </c>
      <c r="F188" s="1"/>
      <c r="G188" t="s">
        <v>46</v>
      </c>
      <c r="H188" t="s">
        <v>47</v>
      </c>
      <c r="I188" t="s">
        <v>48</v>
      </c>
      <c r="J188" t="s">
        <v>49</v>
      </c>
      <c r="K188" t="s">
        <v>369</v>
      </c>
      <c r="L188" t="s">
        <v>73</v>
      </c>
      <c r="M188" t="s">
        <v>146</v>
      </c>
      <c r="N188" t="s">
        <v>52</v>
      </c>
      <c r="O188" t="s">
        <v>53</v>
      </c>
      <c r="P188" t="s">
        <v>74</v>
      </c>
      <c r="Q188" t="s">
        <v>75</v>
      </c>
      <c r="R188" t="s">
        <v>76</v>
      </c>
      <c r="S188" t="s">
        <v>77</v>
      </c>
      <c r="T188" t="s">
        <v>78</v>
      </c>
      <c r="U188" t="s">
        <v>79</v>
      </c>
      <c r="V188" t="s">
        <v>79</v>
      </c>
      <c r="W188" t="s">
        <v>79</v>
      </c>
      <c r="X188" t="s">
        <v>59</v>
      </c>
      <c r="Y188" t="s">
        <v>59</v>
      </c>
      <c r="Z188" t="s">
        <v>59</v>
      </c>
      <c r="AA188" t="s">
        <v>59</v>
      </c>
      <c r="AB188" t="s">
        <v>59</v>
      </c>
      <c r="AC188" t="s">
        <v>59</v>
      </c>
      <c r="AD188" t="s">
        <v>60</v>
      </c>
      <c r="AE188" t="s">
        <v>94</v>
      </c>
      <c r="AF188" t="s">
        <v>147</v>
      </c>
      <c r="AG188" t="s">
        <v>63</v>
      </c>
      <c r="AH188" t="s">
        <v>63</v>
      </c>
      <c r="AI188" t="s">
        <v>63</v>
      </c>
      <c r="AJ188" t="s">
        <v>65</v>
      </c>
      <c r="AK188" t="s">
        <v>63</v>
      </c>
      <c r="AL188" t="s">
        <v>66</v>
      </c>
      <c r="AM188" t="s">
        <v>121</v>
      </c>
      <c r="AN188" t="s">
        <v>68</v>
      </c>
      <c r="AO188" t="s">
        <v>63</v>
      </c>
      <c r="AP188" t="s">
        <v>107</v>
      </c>
      <c r="AQ188" t="s">
        <v>63</v>
      </c>
      <c r="AR188" s="25">
        <v>9</v>
      </c>
      <c r="AS188" t="s">
        <v>398</v>
      </c>
    </row>
    <row r="189" spans="1:45" x14ac:dyDescent="0.3">
      <c r="A189">
        <v>188</v>
      </c>
      <c r="B189" s="24">
        <v>46218.628518518519</v>
      </c>
      <c r="C189" s="24">
        <v>46218.630509259259</v>
      </c>
      <c r="D189" t="s">
        <v>45</v>
      </c>
      <c r="F189" s="1"/>
      <c r="G189" t="s">
        <v>46</v>
      </c>
      <c r="H189" t="s">
        <v>91</v>
      </c>
      <c r="I189" t="s">
        <v>48</v>
      </c>
      <c r="J189" t="s">
        <v>49</v>
      </c>
      <c r="K189" t="s">
        <v>399</v>
      </c>
      <c r="L189" t="s">
        <v>73</v>
      </c>
      <c r="M189" t="s">
        <v>73</v>
      </c>
      <c r="N189" t="s">
        <v>52</v>
      </c>
      <c r="O189" t="s">
        <v>53</v>
      </c>
      <c r="P189" t="s">
        <v>74</v>
      </c>
      <c r="Q189" t="s">
        <v>75</v>
      </c>
      <c r="R189" t="s">
        <v>76</v>
      </c>
      <c r="S189" t="s">
        <v>57</v>
      </c>
      <c r="T189" t="s">
        <v>58</v>
      </c>
      <c r="U189" t="s">
        <v>59</v>
      </c>
      <c r="V189" t="s">
        <v>59</v>
      </c>
      <c r="W189" t="s">
        <v>59</v>
      </c>
      <c r="X189" t="s">
        <v>59</v>
      </c>
      <c r="Y189" t="s">
        <v>59</v>
      </c>
      <c r="Z189" t="s">
        <v>59</v>
      </c>
      <c r="AA189" t="s">
        <v>59</v>
      </c>
      <c r="AB189" t="s">
        <v>59</v>
      </c>
      <c r="AC189" t="s">
        <v>59</v>
      </c>
      <c r="AD189" t="s">
        <v>60</v>
      </c>
      <c r="AE189" t="s">
        <v>88</v>
      </c>
      <c r="AF189" t="s">
        <v>173</v>
      </c>
      <c r="AG189" t="s">
        <v>81</v>
      </c>
      <c r="AH189" t="s">
        <v>81</v>
      </c>
      <c r="AI189" t="s">
        <v>81</v>
      </c>
      <c r="AJ189" t="s">
        <v>82</v>
      </c>
      <c r="AK189" t="s">
        <v>81</v>
      </c>
      <c r="AL189" t="s">
        <v>66</v>
      </c>
      <c r="AM189" t="s">
        <v>67</v>
      </c>
      <c r="AN189" t="s">
        <v>89</v>
      </c>
      <c r="AO189" t="s">
        <v>63</v>
      </c>
      <c r="AP189" t="s">
        <v>107</v>
      </c>
      <c r="AQ189" t="s">
        <v>63</v>
      </c>
      <c r="AR189" s="25">
        <v>8</v>
      </c>
      <c r="AS189" t="s">
        <v>400</v>
      </c>
    </row>
    <row r="190" spans="1:45" x14ac:dyDescent="0.3">
      <c r="A190">
        <v>189</v>
      </c>
      <c r="B190" s="24">
        <v>46218.628634259258</v>
      </c>
      <c r="C190" s="24">
        <v>46218.63077546296</v>
      </c>
      <c r="D190" t="s">
        <v>45</v>
      </c>
      <c r="F190" s="1"/>
      <c r="G190" t="s">
        <v>100</v>
      </c>
      <c r="H190" t="s">
        <v>91</v>
      </c>
      <c r="I190" t="s">
        <v>48</v>
      </c>
      <c r="J190" t="s">
        <v>49</v>
      </c>
      <c r="K190" t="s">
        <v>178</v>
      </c>
      <c r="L190" t="s">
        <v>51</v>
      </c>
      <c r="M190" t="s">
        <v>51</v>
      </c>
      <c r="N190" t="s">
        <v>52</v>
      </c>
      <c r="O190" t="s">
        <v>53</v>
      </c>
      <c r="P190" t="s">
        <v>74</v>
      </c>
      <c r="Q190" t="s">
        <v>55</v>
      </c>
      <c r="R190" t="s">
        <v>56</v>
      </c>
      <c r="S190" t="s">
        <v>77</v>
      </c>
      <c r="T190" t="s">
        <v>78</v>
      </c>
      <c r="U190" t="s">
        <v>59</v>
      </c>
      <c r="V190" t="s">
        <v>59</v>
      </c>
      <c r="W190" t="s">
        <v>59</v>
      </c>
      <c r="X190" t="s">
        <v>59</v>
      </c>
      <c r="Y190" t="s">
        <v>59</v>
      </c>
      <c r="Z190" t="s">
        <v>59</v>
      </c>
      <c r="AA190" t="s">
        <v>59</v>
      </c>
      <c r="AB190" t="s">
        <v>59</v>
      </c>
      <c r="AC190" t="s">
        <v>59</v>
      </c>
      <c r="AD190" t="s">
        <v>60</v>
      </c>
      <c r="AE190" t="s">
        <v>94</v>
      </c>
      <c r="AF190" t="s">
        <v>62</v>
      </c>
      <c r="AG190" t="s">
        <v>63</v>
      </c>
      <c r="AH190" t="s">
        <v>63</v>
      </c>
      <c r="AI190" t="s">
        <v>63</v>
      </c>
      <c r="AJ190" t="s">
        <v>65</v>
      </c>
      <c r="AK190" t="s">
        <v>63</v>
      </c>
      <c r="AL190" t="s">
        <v>66</v>
      </c>
      <c r="AM190" t="s">
        <v>67</v>
      </c>
      <c r="AN190" t="s">
        <v>68</v>
      </c>
      <c r="AO190" t="s">
        <v>63</v>
      </c>
      <c r="AP190" t="s">
        <v>107</v>
      </c>
      <c r="AQ190" t="s">
        <v>63</v>
      </c>
      <c r="AR190" s="25">
        <v>9</v>
      </c>
      <c r="AS190" t="s">
        <v>401</v>
      </c>
    </row>
    <row r="191" spans="1:45" x14ac:dyDescent="0.3">
      <c r="A191">
        <v>190</v>
      </c>
      <c r="B191" s="24">
        <v>46218.630659722221</v>
      </c>
      <c r="C191" s="24">
        <v>46218.632314814815</v>
      </c>
      <c r="D191" t="s">
        <v>45</v>
      </c>
      <c r="F191" s="1"/>
      <c r="G191" t="s">
        <v>46</v>
      </c>
      <c r="H191" t="s">
        <v>91</v>
      </c>
      <c r="I191" t="s">
        <v>48</v>
      </c>
      <c r="J191" t="s">
        <v>49</v>
      </c>
      <c r="K191" t="s">
        <v>402</v>
      </c>
      <c r="L191" t="s">
        <v>73</v>
      </c>
      <c r="M191" t="s">
        <v>73</v>
      </c>
      <c r="N191" t="s">
        <v>52</v>
      </c>
      <c r="O191" t="s">
        <v>53</v>
      </c>
      <c r="P191" t="s">
        <v>74</v>
      </c>
      <c r="Q191" t="s">
        <v>75</v>
      </c>
      <c r="R191" t="s">
        <v>76</v>
      </c>
      <c r="S191" t="s">
        <v>77</v>
      </c>
      <c r="T191" t="s">
        <v>58</v>
      </c>
      <c r="U191" t="s">
        <v>59</v>
      </c>
      <c r="V191" t="s">
        <v>59</v>
      </c>
      <c r="W191" t="s">
        <v>79</v>
      </c>
      <c r="X191" t="s">
        <v>79</v>
      </c>
      <c r="Y191" t="s">
        <v>79</v>
      </c>
      <c r="Z191" t="s">
        <v>59</v>
      </c>
      <c r="AA191" t="s">
        <v>59</v>
      </c>
      <c r="AB191" t="s">
        <v>59</v>
      </c>
      <c r="AC191" t="s">
        <v>79</v>
      </c>
      <c r="AD191" t="s">
        <v>60</v>
      </c>
      <c r="AE191" t="s">
        <v>88</v>
      </c>
      <c r="AF191" t="s">
        <v>173</v>
      </c>
      <c r="AG191" t="s">
        <v>81</v>
      </c>
      <c r="AH191" t="s">
        <v>81</v>
      </c>
      <c r="AI191" t="s">
        <v>81</v>
      </c>
      <c r="AJ191" t="s">
        <v>138</v>
      </c>
      <c r="AK191" t="s">
        <v>81</v>
      </c>
      <c r="AL191" t="s">
        <v>66</v>
      </c>
      <c r="AM191" t="s">
        <v>67</v>
      </c>
      <c r="AN191" t="s">
        <v>68</v>
      </c>
      <c r="AO191" t="s">
        <v>137</v>
      </c>
      <c r="AP191" t="s">
        <v>107</v>
      </c>
      <c r="AQ191" t="s">
        <v>81</v>
      </c>
      <c r="AR191" s="25">
        <v>8</v>
      </c>
      <c r="AS191" t="s">
        <v>403</v>
      </c>
    </row>
    <row r="192" spans="1:45" x14ac:dyDescent="0.3">
      <c r="A192">
        <v>191</v>
      </c>
      <c r="B192" s="24">
        <v>46218.632430555554</v>
      </c>
      <c r="C192" s="24">
        <v>46218.633958333332</v>
      </c>
      <c r="D192" t="s">
        <v>45</v>
      </c>
      <c r="F192" s="1"/>
      <c r="G192" t="s">
        <v>46</v>
      </c>
      <c r="H192" t="s">
        <v>91</v>
      </c>
      <c r="I192" t="s">
        <v>48</v>
      </c>
      <c r="J192" t="s">
        <v>49</v>
      </c>
      <c r="K192" t="s">
        <v>399</v>
      </c>
      <c r="L192" t="s">
        <v>73</v>
      </c>
      <c r="M192" t="s">
        <v>73</v>
      </c>
      <c r="N192" t="s">
        <v>52</v>
      </c>
      <c r="O192" t="s">
        <v>53</v>
      </c>
      <c r="P192" t="s">
        <v>74</v>
      </c>
      <c r="Q192" t="s">
        <v>75</v>
      </c>
      <c r="R192" t="s">
        <v>76</v>
      </c>
      <c r="S192" t="s">
        <v>77</v>
      </c>
      <c r="T192" t="s">
        <v>58</v>
      </c>
      <c r="U192" t="s">
        <v>79</v>
      </c>
      <c r="V192" t="s">
        <v>79</v>
      </c>
      <c r="W192" t="s">
        <v>79</v>
      </c>
      <c r="X192" t="s">
        <v>79</v>
      </c>
      <c r="Y192" t="s">
        <v>79</v>
      </c>
      <c r="Z192" t="s">
        <v>79</v>
      </c>
      <c r="AA192" t="s">
        <v>79</v>
      </c>
      <c r="AB192" t="s">
        <v>79</v>
      </c>
      <c r="AC192" t="s">
        <v>79</v>
      </c>
      <c r="AD192" t="s">
        <v>60</v>
      </c>
      <c r="AE192" t="s">
        <v>88</v>
      </c>
      <c r="AF192" t="s">
        <v>147</v>
      </c>
      <c r="AG192" t="s">
        <v>81</v>
      </c>
      <c r="AH192" t="s">
        <v>81</v>
      </c>
      <c r="AI192" t="s">
        <v>81</v>
      </c>
      <c r="AJ192" t="s">
        <v>138</v>
      </c>
      <c r="AK192" t="s">
        <v>81</v>
      </c>
      <c r="AL192" t="s">
        <v>66</v>
      </c>
      <c r="AM192" t="s">
        <v>67</v>
      </c>
      <c r="AN192" t="s">
        <v>68</v>
      </c>
      <c r="AO192" t="s">
        <v>63</v>
      </c>
      <c r="AP192" t="s">
        <v>107</v>
      </c>
      <c r="AQ192" t="s">
        <v>63</v>
      </c>
      <c r="AR192" s="25">
        <v>8</v>
      </c>
      <c r="AS192" t="s">
        <v>157</v>
      </c>
    </row>
    <row r="193" spans="1:45" x14ac:dyDescent="0.3">
      <c r="A193">
        <v>192</v>
      </c>
      <c r="B193" s="24">
        <v>46218.637743055559</v>
      </c>
      <c r="C193" s="24">
        <v>46218.643877314818</v>
      </c>
      <c r="D193" t="s">
        <v>45</v>
      </c>
      <c r="F193" s="1"/>
      <c r="G193" t="s">
        <v>46</v>
      </c>
      <c r="H193" t="s">
        <v>91</v>
      </c>
      <c r="I193" t="s">
        <v>101</v>
      </c>
      <c r="J193" t="s">
        <v>49</v>
      </c>
      <c r="K193" t="s">
        <v>404</v>
      </c>
      <c r="L193" t="s">
        <v>73</v>
      </c>
      <c r="M193" t="s">
        <v>73</v>
      </c>
      <c r="N193" t="s">
        <v>52</v>
      </c>
      <c r="O193" t="s">
        <v>53</v>
      </c>
      <c r="P193" t="s">
        <v>74</v>
      </c>
      <c r="Q193" t="s">
        <v>75</v>
      </c>
      <c r="R193" t="s">
        <v>76</v>
      </c>
      <c r="S193" t="s">
        <v>77</v>
      </c>
      <c r="T193" t="s">
        <v>58</v>
      </c>
      <c r="U193" t="s">
        <v>59</v>
      </c>
      <c r="V193" t="s">
        <v>79</v>
      </c>
      <c r="W193" t="s">
        <v>79</v>
      </c>
      <c r="X193" t="s">
        <v>79</v>
      </c>
      <c r="Y193" t="s">
        <v>59</v>
      </c>
      <c r="Z193" t="s">
        <v>59</v>
      </c>
      <c r="AA193" t="s">
        <v>59</v>
      </c>
      <c r="AB193" t="s">
        <v>59</v>
      </c>
      <c r="AC193" t="s">
        <v>59</v>
      </c>
      <c r="AD193" t="s">
        <v>60</v>
      </c>
      <c r="AE193" t="s">
        <v>88</v>
      </c>
      <c r="AF193" t="s">
        <v>62</v>
      </c>
      <c r="AG193" t="s">
        <v>63</v>
      </c>
      <c r="AH193" t="s">
        <v>63</v>
      </c>
      <c r="AI193" t="s">
        <v>63</v>
      </c>
      <c r="AJ193" t="s">
        <v>82</v>
      </c>
      <c r="AK193" t="s">
        <v>63</v>
      </c>
      <c r="AL193" t="s">
        <v>102</v>
      </c>
      <c r="AM193" t="s">
        <v>67</v>
      </c>
      <c r="AN193" t="s">
        <v>89</v>
      </c>
      <c r="AO193" t="s">
        <v>63</v>
      </c>
      <c r="AP193" t="s">
        <v>107</v>
      </c>
      <c r="AQ193" t="s">
        <v>63</v>
      </c>
      <c r="AR193" s="25">
        <v>8</v>
      </c>
      <c r="AS193" t="s">
        <v>405</v>
      </c>
    </row>
    <row r="194" spans="1:45" x14ac:dyDescent="0.3">
      <c r="A194">
        <v>193</v>
      </c>
      <c r="B194" s="24">
        <v>46218.686631944445</v>
      </c>
      <c r="C194" s="24">
        <v>46218.695856481485</v>
      </c>
      <c r="D194" t="s">
        <v>45</v>
      </c>
      <c r="F194" s="1"/>
      <c r="G194" t="s">
        <v>100</v>
      </c>
      <c r="H194" t="s">
        <v>112</v>
      </c>
      <c r="I194" t="s">
        <v>113</v>
      </c>
      <c r="J194" t="s">
        <v>125</v>
      </c>
      <c r="K194" t="s">
        <v>284</v>
      </c>
      <c r="L194" t="s">
        <v>146</v>
      </c>
      <c r="M194" t="s">
        <v>146</v>
      </c>
      <c r="N194" t="s">
        <v>52</v>
      </c>
      <c r="O194" t="s">
        <v>53</v>
      </c>
      <c r="P194" t="s">
        <v>74</v>
      </c>
      <c r="Q194" t="s">
        <v>75</v>
      </c>
      <c r="R194" t="s">
        <v>76</v>
      </c>
      <c r="S194" t="s">
        <v>77</v>
      </c>
      <c r="T194" t="s">
        <v>78</v>
      </c>
      <c r="U194" t="s">
        <v>86</v>
      </c>
      <c r="V194" t="s">
        <v>79</v>
      </c>
      <c r="W194" t="s">
        <v>59</v>
      </c>
      <c r="X194" t="s">
        <v>79</v>
      </c>
      <c r="Y194" t="s">
        <v>59</v>
      </c>
      <c r="Z194" t="s">
        <v>87</v>
      </c>
      <c r="AA194" t="s">
        <v>79</v>
      </c>
      <c r="AB194" t="s">
        <v>79</v>
      </c>
      <c r="AC194" t="s">
        <v>86</v>
      </c>
      <c r="AD194" t="s">
        <v>80</v>
      </c>
      <c r="AE194" t="s">
        <v>88</v>
      </c>
      <c r="AF194" t="s">
        <v>62</v>
      </c>
      <c r="AG194" t="s">
        <v>63</v>
      </c>
      <c r="AH194" t="s">
        <v>63</v>
      </c>
      <c r="AI194" t="s">
        <v>81</v>
      </c>
      <c r="AJ194" t="s">
        <v>82</v>
      </c>
      <c r="AK194" t="s">
        <v>81</v>
      </c>
      <c r="AL194" t="s">
        <v>137</v>
      </c>
      <c r="AM194" t="s">
        <v>137</v>
      </c>
      <c r="AN194" t="s">
        <v>137</v>
      </c>
      <c r="AO194" t="s">
        <v>137</v>
      </c>
      <c r="AP194" t="s">
        <v>107</v>
      </c>
      <c r="AQ194" t="s">
        <v>63</v>
      </c>
      <c r="AR194" s="25">
        <v>7</v>
      </c>
      <c r="AS194" t="s">
        <v>406</v>
      </c>
    </row>
    <row r="195" spans="1:45" x14ac:dyDescent="0.3">
      <c r="A195">
        <v>194</v>
      </c>
      <c r="B195" s="24">
        <v>46218.836157407408</v>
      </c>
      <c r="C195" s="24">
        <v>46218.851087962961</v>
      </c>
      <c r="D195" t="s">
        <v>45</v>
      </c>
      <c r="F195" s="1"/>
      <c r="G195" t="s">
        <v>100</v>
      </c>
      <c r="H195" t="s">
        <v>47</v>
      </c>
      <c r="I195" t="s">
        <v>133</v>
      </c>
      <c r="J195" t="s">
        <v>49</v>
      </c>
      <c r="K195" t="s">
        <v>407</v>
      </c>
      <c r="L195" t="s">
        <v>73</v>
      </c>
      <c r="M195" t="s">
        <v>73</v>
      </c>
      <c r="N195" t="s">
        <v>52</v>
      </c>
      <c r="O195" t="s">
        <v>53</v>
      </c>
      <c r="P195" t="s">
        <v>74</v>
      </c>
      <c r="Q195" t="s">
        <v>75</v>
      </c>
      <c r="R195" t="s">
        <v>76</v>
      </c>
      <c r="S195" t="s">
        <v>77</v>
      </c>
      <c r="T195" t="s">
        <v>58</v>
      </c>
      <c r="U195" t="s">
        <v>87</v>
      </c>
      <c r="V195" t="s">
        <v>79</v>
      </c>
      <c r="W195" t="s">
        <v>59</v>
      </c>
      <c r="X195" t="s">
        <v>87</v>
      </c>
      <c r="Y195" t="s">
        <v>79</v>
      </c>
      <c r="Z195" t="s">
        <v>87</v>
      </c>
      <c r="AA195" t="s">
        <v>59</v>
      </c>
      <c r="AB195" t="s">
        <v>59</v>
      </c>
      <c r="AC195" t="s">
        <v>86</v>
      </c>
      <c r="AD195" t="s">
        <v>187</v>
      </c>
      <c r="AE195" t="s">
        <v>88</v>
      </c>
      <c r="AF195" t="s">
        <v>62</v>
      </c>
      <c r="AG195" t="s">
        <v>81</v>
      </c>
      <c r="AH195" t="s">
        <v>63</v>
      </c>
      <c r="AI195" t="s">
        <v>63</v>
      </c>
      <c r="AJ195" t="s">
        <v>82</v>
      </c>
      <c r="AK195" t="s">
        <v>63</v>
      </c>
      <c r="AL195" t="s">
        <v>102</v>
      </c>
      <c r="AM195" t="s">
        <v>67</v>
      </c>
      <c r="AN195" t="s">
        <v>68</v>
      </c>
      <c r="AO195" t="s">
        <v>137</v>
      </c>
      <c r="AP195" t="s">
        <v>107</v>
      </c>
      <c r="AQ195" t="s">
        <v>137</v>
      </c>
      <c r="AR195" s="25">
        <v>7</v>
      </c>
      <c r="AS195" t="s">
        <v>408</v>
      </c>
    </row>
    <row r="196" spans="1:45" x14ac:dyDescent="0.3">
      <c r="A196">
        <v>195</v>
      </c>
      <c r="B196" s="24">
        <v>46218.916817129626</v>
      </c>
      <c r="C196" s="24">
        <v>46218.920868055553</v>
      </c>
      <c r="D196" t="s">
        <v>45</v>
      </c>
      <c r="F196" s="1"/>
      <c r="G196" t="s">
        <v>46</v>
      </c>
      <c r="H196" t="s">
        <v>47</v>
      </c>
      <c r="I196" t="s">
        <v>48</v>
      </c>
      <c r="J196" t="s">
        <v>96</v>
      </c>
      <c r="K196" t="s">
        <v>97</v>
      </c>
      <c r="L196" t="s">
        <v>51</v>
      </c>
      <c r="M196" t="s">
        <v>51</v>
      </c>
      <c r="N196" t="s">
        <v>52</v>
      </c>
      <c r="O196" t="s">
        <v>53</v>
      </c>
      <c r="P196" t="s">
        <v>74</v>
      </c>
      <c r="Q196" t="s">
        <v>55</v>
      </c>
      <c r="R196" t="s">
        <v>56</v>
      </c>
      <c r="S196" t="s">
        <v>57</v>
      </c>
      <c r="T196" t="s">
        <v>58</v>
      </c>
      <c r="U196" t="s">
        <v>59</v>
      </c>
      <c r="V196" t="s">
        <v>79</v>
      </c>
      <c r="W196" t="s">
        <v>59</v>
      </c>
      <c r="X196" t="s">
        <v>79</v>
      </c>
      <c r="Y196" t="s">
        <v>59</v>
      </c>
      <c r="Z196" t="s">
        <v>59</v>
      </c>
      <c r="AA196" t="s">
        <v>79</v>
      </c>
      <c r="AB196" t="s">
        <v>59</v>
      </c>
      <c r="AC196" t="s">
        <v>59</v>
      </c>
      <c r="AD196" t="s">
        <v>60</v>
      </c>
      <c r="AE196" t="s">
        <v>61</v>
      </c>
      <c r="AF196" t="s">
        <v>62</v>
      </c>
      <c r="AG196" t="s">
        <v>63</v>
      </c>
      <c r="AH196" t="s">
        <v>63</v>
      </c>
      <c r="AI196" t="s">
        <v>63</v>
      </c>
      <c r="AJ196" t="s">
        <v>82</v>
      </c>
      <c r="AK196" t="s">
        <v>63</v>
      </c>
      <c r="AL196" t="s">
        <v>120</v>
      </c>
      <c r="AM196" t="s">
        <v>67</v>
      </c>
      <c r="AN196" t="s">
        <v>89</v>
      </c>
      <c r="AO196" t="s">
        <v>63</v>
      </c>
      <c r="AP196" t="s">
        <v>98</v>
      </c>
      <c r="AQ196" t="s">
        <v>63</v>
      </c>
      <c r="AR196" s="25">
        <v>8</v>
      </c>
      <c r="AS196" t="s">
        <v>409</v>
      </c>
    </row>
    <row r="197" spans="1:45" x14ac:dyDescent="0.3">
      <c r="A197">
        <v>196</v>
      </c>
      <c r="B197" s="24">
        <v>46219.32953703704</v>
      </c>
      <c r="C197" s="24">
        <v>46219.331979166665</v>
      </c>
      <c r="D197" t="s">
        <v>45</v>
      </c>
      <c r="F197" s="1"/>
      <c r="G197" t="s">
        <v>46</v>
      </c>
      <c r="H197" t="s">
        <v>47</v>
      </c>
      <c r="I197" t="s">
        <v>101</v>
      </c>
      <c r="J197" t="s">
        <v>104</v>
      </c>
      <c r="K197" t="s">
        <v>410</v>
      </c>
      <c r="L197" t="s">
        <v>73</v>
      </c>
      <c r="M197" t="s">
        <v>73</v>
      </c>
      <c r="N197" t="s">
        <v>52</v>
      </c>
      <c r="O197" t="s">
        <v>53</v>
      </c>
      <c r="P197" t="s">
        <v>74</v>
      </c>
      <c r="Q197" t="s">
        <v>75</v>
      </c>
      <c r="R197" t="s">
        <v>76</v>
      </c>
      <c r="S197" t="s">
        <v>77</v>
      </c>
      <c r="T197" t="s">
        <v>58</v>
      </c>
      <c r="U197" t="s">
        <v>79</v>
      </c>
      <c r="V197" t="s">
        <v>79</v>
      </c>
      <c r="W197" t="s">
        <v>79</v>
      </c>
      <c r="X197" t="s">
        <v>79</v>
      </c>
      <c r="Y197" t="s">
        <v>79</v>
      </c>
      <c r="Z197" t="s">
        <v>59</v>
      </c>
      <c r="AA197" t="s">
        <v>59</v>
      </c>
      <c r="AB197" t="s">
        <v>79</v>
      </c>
      <c r="AC197" t="s">
        <v>59</v>
      </c>
      <c r="AD197" t="s">
        <v>60</v>
      </c>
      <c r="AE197" t="s">
        <v>88</v>
      </c>
      <c r="AF197" t="s">
        <v>173</v>
      </c>
      <c r="AG197" t="s">
        <v>81</v>
      </c>
      <c r="AH197" t="s">
        <v>81</v>
      </c>
      <c r="AI197" t="s">
        <v>137</v>
      </c>
      <c r="AJ197" t="s">
        <v>138</v>
      </c>
      <c r="AK197" t="s">
        <v>81</v>
      </c>
      <c r="AL197" t="s">
        <v>66</v>
      </c>
      <c r="AM197" t="s">
        <v>137</v>
      </c>
      <c r="AN197" t="s">
        <v>89</v>
      </c>
      <c r="AO197" t="s">
        <v>63</v>
      </c>
      <c r="AP197" t="s">
        <v>107</v>
      </c>
      <c r="AQ197" t="s">
        <v>81</v>
      </c>
      <c r="AR197" s="25">
        <v>8</v>
      </c>
      <c r="AS197" t="s">
        <v>271</v>
      </c>
    </row>
    <row r="198" spans="1:45" x14ac:dyDescent="0.3">
      <c r="A198">
        <v>197</v>
      </c>
      <c r="B198" s="24">
        <v>46219.332199074073</v>
      </c>
      <c r="C198" s="24">
        <v>46219.335462962961</v>
      </c>
      <c r="D198" t="s">
        <v>45</v>
      </c>
      <c r="F198" s="1"/>
      <c r="G198" t="s">
        <v>46</v>
      </c>
      <c r="H198" t="s">
        <v>91</v>
      </c>
      <c r="I198" t="s">
        <v>101</v>
      </c>
      <c r="J198" t="s">
        <v>49</v>
      </c>
      <c r="K198" t="s">
        <v>410</v>
      </c>
      <c r="L198" t="s">
        <v>73</v>
      </c>
      <c r="M198" t="s">
        <v>73</v>
      </c>
      <c r="N198" t="s">
        <v>52</v>
      </c>
      <c r="O198" t="s">
        <v>53</v>
      </c>
      <c r="P198" t="s">
        <v>74</v>
      </c>
      <c r="Q198" t="s">
        <v>75</v>
      </c>
      <c r="R198" t="s">
        <v>76</v>
      </c>
      <c r="S198" t="s">
        <v>77</v>
      </c>
      <c r="T198" t="s">
        <v>58</v>
      </c>
      <c r="U198" t="s">
        <v>87</v>
      </c>
      <c r="V198" t="s">
        <v>87</v>
      </c>
      <c r="W198" t="s">
        <v>87</v>
      </c>
      <c r="X198" t="s">
        <v>87</v>
      </c>
      <c r="Y198" t="s">
        <v>79</v>
      </c>
      <c r="Z198" t="s">
        <v>79</v>
      </c>
      <c r="AA198" t="s">
        <v>87</v>
      </c>
      <c r="AB198" t="s">
        <v>87</v>
      </c>
      <c r="AC198" t="s">
        <v>79</v>
      </c>
      <c r="AD198" t="s">
        <v>60</v>
      </c>
      <c r="AE198" t="s">
        <v>88</v>
      </c>
      <c r="AF198" t="s">
        <v>173</v>
      </c>
      <c r="AG198" t="s">
        <v>81</v>
      </c>
      <c r="AH198" t="s">
        <v>81</v>
      </c>
      <c r="AI198" t="s">
        <v>81</v>
      </c>
      <c r="AJ198" t="s">
        <v>138</v>
      </c>
      <c r="AK198" t="s">
        <v>81</v>
      </c>
      <c r="AL198" t="s">
        <v>66</v>
      </c>
      <c r="AM198" t="s">
        <v>137</v>
      </c>
      <c r="AN198" t="s">
        <v>89</v>
      </c>
      <c r="AO198" t="s">
        <v>63</v>
      </c>
      <c r="AP198" t="s">
        <v>107</v>
      </c>
      <c r="AQ198" t="s">
        <v>81</v>
      </c>
      <c r="AR198" s="25">
        <v>8</v>
      </c>
      <c r="AS198" t="s">
        <v>411</v>
      </c>
    </row>
    <row r="199" spans="1:45" x14ac:dyDescent="0.3">
      <c r="A199">
        <v>198</v>
      </c>
      <c r="B199" s="24">
        <v>46219.335578703707</v>
      </c>
      <c r="C199" s="24">
        <v>46219.337777777779</v>
      </c>
      <c r="D199" t="s">
        <v>45</v>
      </c>
      <c r="F199" s="1"/>
      <c r="G199" t="s">
        <v>46</v>
      </c>
      <c r="H199" t="s">
        <v>91</v>
      </c>
      <c r="I199" t="s">
        <v>48</v>
      </c>
      <c r="J199" t="s">
        <v>49</v>
      </c>
      <c r="K199" t="s">
        <v>410</v>
      </c>
      <c r="L199" t="s">
        <v>73</v>
      </c>
      <c r="M199" t="s">
        <v>73</v>
      </c>
      <c r="N199" t="s">
        <v>52</v>
      </c>
      <c r="O199" t="s">
        <v>53</v>
      </c>
      <c r="P199" t="s">
        <v>74</v>
      </c>
      <c r="Q199" t="s">
        <v>75</v>
      </c>
      <c r="R199" t="s">
        <v>76</v>
      </c>
      <c r="S199" t="s">
        <v>77</v>
      </c>
      <c r="T199" t="s">
        <v>58</v>
      </c>
      <c r="U199" t="s">
        <v>79</v>
      </c>
      <c r="V199" t="s">
        <v>87</v>
      </c>
      <c r="W199" t="s">
        <v>87</v>
      </c>
      <c r="X199" t="s">
        <v>87</v>
      </c>
      <c r="Y199" t="s">
        <v>86</v>
      </c>
      <c r="Z199" t="s">
        <v>79</v>
      </c>
      <c r="AA199" t="s">
        <v>87</v>
      </c>
      <c r="AB199" t="s">
        <v>79</v>
      </c>
      <c r="AC199" t="s">
        <v>79</v>
      </c>
      <c r="AD199" t="s">
        <v>60</v>
      </c>
      <c r="AE199" t="s">
        <v>88</v>
      </c>
      <c r="AF199" t="s">
        <v>173</v>
      </c>
      <c r="AG199" t="s">
        <v>63</v>
      </c>
      <c r="AH199" t="s">
        <v>63</v>
      </c>
      <c r="AI199" t="s">
        <v>63</v>
      </c>
      <c r="AJ199" t="s">
        <v>138</v>
      </c>
      <c r="AK199" t="s">
        <v>63</v>
      </c>
      <c r="AL199" t="s">
        <v>102</v>
      </c>
      <c r="AM199" t="s">
        <v>67</v>
      </c>
      <c r="AN199" t="s">
        <v>68</v>
      </c>
      <c r="AO199" t="s">
        <v>63</v>
      </c>
      <c r="AP199" t="s">
        <v>107</v>
      </c>
      <c r="AQ199" t="s">
        <v>63</v>
      </c>
      <c r="AR199" s="25">
        <v>8</v>
      </c>
      <c r="AS199" t="s">
        <v>412</v>
      </c>
    </row>
    <row r="200" spans="1:45" x14ac:dyDescent="0.3">
      <c r="A200">
        <v>199</v>
      </c>
      <c r="B200" s="24">
        <v>46219.337870370371</v>
      </c>
      <c r="C200" s="24">
        <v>46219.339768518519</v>
      </c>
      <c r="D200" t="s">
        <v>45</v>
      </c>
      <c r="F200" s="1"/>
      <c r="G200" t="s">
        <v>46</v>
      </c>
      <c r="H200" t="s">
        <v>91</v>
      </c>
      <c r="I200" t="s">
        <v>48</v>
      </c>
      <c r="J200" t="s">
        <v>49</v>
      </c>
      <c r="K200" t="s">
        <v>413</v>
      </c>
      <c r="L200" t="s">
        <v>73</v>
      </c>
      <c r="M200" t="s">
        <v>73</v>
      </c>
      <c r="N200" t="s">
        <v>52</v>
      </c>
      <c r="O200" t="s">
        <v>53</v>
      </c>
      <c r="P200" t="s">
        <v>74</v>
      </c>
      <c r="Q200" t="s">
        <v>75</v>
      </c>
      <c r="R200" t="s">
        <v>76</v>
      </c>
      <c r="S200" t="s">
        <v>77</v>
      </c>
      <c r="T200" t="s">
        <v>58</v>
      </c>
      <c r="U200" t="s">
        <v>79</v>
      </c>
      <c r="V200" t="s">
        <v>87</v>
      </c>
      <c r="W200" t="s">
        <v>87</v>
      </c>
      <c r="X200" t="s">
        <v>87</v>
      </c>
      <c r="Y200" t="s">
        <v>79</v>
      </c>
      <c r="Z200" t="s">
        <v>79</v>
      </c>
      <c r="AA200" t="s">
        <v>87</v>
      </c>
      <c r="AB200" t="s">
        <v>79</v>
      </c>
      <c r="AC200" t="s">
        <v>79</v>
      </c>
      <c r="AD200" t="s">
        <v>60</v>
      </c>
      <c r="AE200" t="s">
        <v>88</v>
      </c>
      <c r="AF200" t="s">
        <v>173</v>
      </c>
      <c r="AG200" t="s">
        <v>63</v>
      </c>
      <c r="AH200" t="s">
        <v>63</v>
      </c>
      <c r="AI200" t="s">
        <v>63</v>
      </c>
      <c r="AJ200" t="s">
        <v>138</v>
      </c>
      <c r="AK200" t="s">
        <v>63</v>
      </c>
      <c r="AL200" t="s">
        <v>102</v>
      </c>
      <c r="AM200" t="s">
        <v>67</v>
      </c>
      <c r="AN200" t="s">
        <v>68</v>
      </c>
      <c r="AO200" t="s">
        <v>63</v>
      </c>
      <c r="AP200" t="s">
        <v>107</v>
      </c>
      <c r="AQ200" t="s">
        <v>63</v>
      </c>
      <c r="AR200" s="25">
        <v>8</v>
      </c>
      <c r="AS200" t="s">
        <v>414</v>
      </c>
    </row>
    <row r="201" spans="1:45" x14ac:dyDescent="0.3">
      <c r="A201">
        <v>200</v>
      </c>
      <c r="B201" s="24">
        <v>46219.340173611112</v>
      </c>
      <c r="C201" s="24">
        <v>46219.342777777776</v>
      </c>
      <c r="D201" t="s">
        <v>45</v>
      </c>
      <c r="F201" s="1"/>
      <c r="G201" t="s">
        <v>100</v>
      </c>
      <c r="H201" t="s">
        <v>47</v>
      </c>
      <c r="I201" t="s">
        <v>101</v>
      </c>
      <c r="J201" t="s">
        <v>49</v>
      </c>
      <c r="K201" t="s">
        <v>85</v>
      </c>
      <c r="L201" t="s">
        <v>73</v>
      </c>
      <c r="M201" t="s">
        <v>73</v>
      </c>
      <c r="N201" t="s">
        <v>52</v>
      </c>
      <c r="O201" t="s">
        <v>53</v>
      </c>
      <c r="P201" t="s">
        <v>74</v>
      </c>
      <c r="Q201" t="s">
        <v>75</v>
      </c>
      <c r="R201" t="s">
        <v>76</v>
      </c>
      <c r="S201" t="s">
        <v>77</v>
      </c>
      <c r="T201" t="s">
        <v>58</v>
      </c>
      <c r="U201" t="s">
        <v>79</v>
      </c>
      <c r="V201" t="s">
        <v>87</v>
      </c>
      <c r="W201" t="s">
        <v>87</v>
      </c>
      <c r="X201" t="s">
        <v>87</v>
      </c>
      <c r="Y201" t="s">
        <v>79</v>
      </c>
      <c r="Z201" t="s">
        <v>79</v>
      </c>
      <c r="AA201" t="s">
        <v>87</v>
      </c>
      <c r="AB201" t="s">
        <v>79</v>
      </c>
      <c r="AC201" t="s">
        <v>79</v>
      </c>
      <c r="AD201" t="s">
        <v>60</v>
      </c>
      <c r="AE201" t="s">
        <v>88</v>
      </c>
      <c r="AF201" t="s">
        <v>173</v>
      </c>
      <c r="AG201" t="s">
        <v>81</v>
      </c>
      <c r="AH201" t="s">
        <v>81</v>
      </c>
      <c r="AI201" t="s">
        <v>137</v>
      </c>
      <c r="AJ201" t="s">
        <v>138</v>
      </c>
      <c r="AK201" t="s">
        <v>137</v>
      </c>
      <c r="AL201" t="s">
        <v>137</v>
      </c>
      <c r="AM201" t="s">
        <v>137</v>
      </c>
      <c r="AN201" t="s">
        <v>137</v>
      </c>
      <c r="AO201" t="s">
        <v>137</v>
      </c>
      <c r="AP201" t="s">
        <v>107</v>
      </c>
      <c r="AQ201" t="s">
        <v>137</v>
      </c>
      <c r="AR201" s="25">
        <v>8</v>
      </c>
      <c r="AS201" t="s">
        <v>415</v>
      </c>
    </row>
    <row r="202" spans="1:45" x14ac:dyDescent="0.3">
      <c r="A202">
        <v>201</v>
      </c>
      <c r="B202" s="24">
        <v>46236.665405092594</v>
      </c>
      <c r="C202" s="24">
        <v>46236.667037037034</v>
      </c>
      <c r="D202" s="4" t="s">
        <v>45</v>
      </c>
      <c r="E202" s="4"/>
      <c r="F202" s="1"/>
      <c r="G202" s="4" t="s">
        <v>46</v>
      </c>
      <c r="H202" s="4" t="s">
        <v>47</v>
      </c>
      <c r="I202" s="4" t="s">
        <v>113</v>
      </c>
      <c r="J202" s="4" t="s">
        <v>125</v>
      </c>
      <c r="K202" s="4" t="s">
        <v>97</v>
      </c>
      <c r="L202" s="4" t="s">
        <v>73</v>
      </c>
      <c r="M202" s="4" t="s">
        <v>73</v>
      </c>
      <c r="N202" s="4" t="s">
        <v>52</v>
      </c>
      <c r="O202" s="4" t="s">
        <v>53</v>
      </c>
      <c r="P202" s="4" t="s">
        <v>74</v>
      </c>
      <c r="Q202" s="4" t="s">
        <v>75</v>
      </c>
      <c r="R202" s="4" t="s">
        <v>76</v>
      </c>
      <c r="S202" s="4" t="s">
        <v>106</v>
      </c>
      <c r="T202" s="4" t="s">
        <v>78</v>
      </c>
      <c r="U202" s="4" t="s">
        <v>59</v>
      </c>
      <c r="V202" s="4" t="s">
        <v>59</v>
      </c>
      <c r="W202" s="4" t="s">
        <v>59</v>
      </c>
      <c r="X202" s="4" t="s">
        <v>59</v>
      </c>
      <c r="Y202" s="4" t="s">
        <v>59</v>
      </c>
      <c r="Z202" s="4" t="s">
        <v>59</v>
      </c>
      <c r="AA202" s="4" t="s">
        <v>59</v>
      </c>
      <c r="AB202" s="4" t="s">
        <v>59</v>
      </c>
      <c r="AC202" s="4" t="s">
        <v>59</v>
      </c>
      <c r="AD202" s="4" t="s">
        <v>60</v>
      </c>
      <c r="AE202" s="4" t="s">
        <v>88</v>
      </c>
      <c r="AF202" s="4" t="s">
        <v>62</v>
      </c>
      <c r="AG202" s="4" t="s">
        <v>63</v>
      </c>
      <c r="AH202" s="4" t="s">
        <v>81</v>
      </c>
      <c r="AI202" s="4" t="s">
        <v>63</v>
      </c>
      <c r="AJ202" s="4" t="s">
        <v>65</v>
      </c>
      <c r="AK202" s="4" t="s">
        <v>81</v>
      </c>
      <c r="AL202" s="4" t="s">
        <v>66</v>
      </c>
      <c r="AM202" s="4" t="s">
        <v>121</v>
      </c>
      <c r="AN202" s="4" t="s">
        <v>175</v>
      </c>
      <c r="AO202" s="4" t="s">
        <v>63</v>
      </c>
      <c r="AP202" s="4" t="s">
        <v>69</v>
      </c>
      <c r="AQ202" s="4" t="s">
        <v>63</v>
      </c>
      <c r="AR202" s="25">
        <v>6</v>
      </c>
      <c r="AS202" s="4"/>
    </row>
    <row r="203" spans="1:45" x14ac:dyDescent="0.3">
      <c r="A203">
        <v>202</v>
      </c>
      <c r="B203" s="24">
        <v>46238.346759259257</v>
      </c>
      <c r="C203" s="24">
        <v>46238.34988425926</v>
      </c>
      <c r="D203" s="4" t="s">
        <v>45</v>
      </c>
      <c r="E203" s="4"/>
      <c r="F203" s="1"/>
      <c r="G203" s="4" t="s">
        <v>46</v>
      </c>
      <c r="H203" s="4" t="s">
        <v>91</v>
      </c>
      <c r="I203" s="4" t="s">
        <v>48</v>
      </c>
      <c r="J203" s="4" t="s">
        <v>186</v>
      </c>
      <c r="K203" s="4" t="s">
        <v>165</v>
      </c>
      <c r="L203" s="4" t="s">
        <v>73</v>
      </c>
      <c r="M203" s="4" t="s">
        <v>73</v>
      </c>
      <c r="N203" s="4" t="s">
        <v>52</v>
      </c>
      <c r="O203" s="4" t="s">
        <v>53</v>
      </c>
      <c r="P203" s="4" t="s">
        <v>74</v>
      </c>
      <c r="Q203" s="4" t="s">
        <v>75</v>
      </c>
      <c r="R203" s="4" t="s">
        <v>76</v>
      </c>
      <c r="S203" s="4" t="s">
        <v>77</v>
      </c>
      <c r="T203" s="4" t="s">
        <v>58</v>
      </c>
      <c r="U203" s="4" t="s">
        <v>59</v>
      </c>
      <c r="V203" s="4" t="s">
        <v>59</v>
      </c>
      <c r="W203" s="4" t="s">
        <v>59</v>
      </c>
      <c r="X203" s="4" t="s">
        <v>59</v>
      </c>
      <c r="Y203" s="4" t="s">
        <v>59</v>
      </c>
      <c r="Z203" s="4" t="s">
        <v>59</v>
      </c>
      <c r="AA203" s="4" t="s">
        <v>59</v>
      </c>
      <c r="AB203" s="4" t="s">
        <v>59</v>
      </c>
      <c r="AC203" s="4" t="s">
        <v>59</v>
      </c>
      <c r="AD203" s="4" t="s">
        <v>80</v>
      </c>
      <c r="AE203" s="4" t="s">
        <v>61</v>
      </c>
      <c r="AF203" s="4" t="s">
        <v>62</v>
      </c>
      <c r="AG203" s="4" t="s">
        <v>63</v>
      </c>
      <c r="AH203" s="4" t="s">
        <v>63</v>
      </c>
      <c r="AI203" s="4" t="s">
        <v>63</v>
      </c>
      <c r="AJ203" s="4" t="s">
        <v>82</v>
      </c>
      <c r="AK203" s="4" t="s">
        <v>63</v>
      </c>
      <c r="AL203" s="4" t="s">
        <v>120</v>
      </c>
      <c r="AM203" s="4" t="s">
        <v>67</v>
      </c>
      <c r="AN203" s="4" t="s">
        <v>68</v>
      </c>
      <c r="AO203" s="4" t="s">
        <v>63</v>
      </c>
      <c r="AP203" s="4" t="s">
        <v>98</v>
      </c>
      <c r="AQ203" s="4" t="s">
        <v>63</v>
      </c>
      <c r="AR203" s="25">
        <v>8</v>
      </c>
      <c r="AS203" s="4" t="s">
        <v>416</v>
      </c>
    </row>
    <row r="204" spans="1:45" x14ac:dyDescent="0.3">
      <c r="A204">
        <v>203</v>
      </c>
      <c r="B204" s="24">
        <v>46238.348819444444</v>
      </c>
      <c r="C204" s="24">
        <v>46238.35224537037</v>
      </c>
      <c r="D204" s="4" t="s">
        <v>45</v>
      </c>
      <c r="E204" s="4"/>
      <c r="F204" s="1"/>
      <c r="G204" s="4" t="s">
        <v>46</v>
      </c>
      <c r="H204" s="4" t="s">
        <v>47</v>
      </c>
      <c r="I204" s="4" t="s">
        <v>48</v>
      </c>
      <c r="J204" s="4" t="s">
        <v>96</v>
      </c>
      <c r="K204" s="4" t="s">
        <v>97</v>
      </c>
      <c r="L204" s="4" t="s">
        <v>73</v>
      </c>
      <c r="M204" s="4" t="s">
        <v>73</v>
      </c>
      <c r="N204" s="4" t="s">
        <v>52</v>
      </c>
      <c r="O204" s="4" t="s">
        <v>53</v>
      </c>
      <c r="P204" s="4" t="s">
        <v>74</v>
      </c>
      <c r="Q204" s="4" t="s">
        <v>55</v>
      </c>
      <c r="R204" s="4" t="s">
        <v>56</v>
      </c>
      <c r="S204" s="4" t="s">
        <v>57</v>
      </c>
      <c r="T204" s="4" t="s">
        <v>58</v>
      </c>
      <c r="U204" s="4" t="s">
        <v>59</v>
      </c>
      <c r="V204" s="4" t="s">
        <v>79</v>
      </c>
      <c r="W204" s="4" t="s">
        <v>59</v>
      </c>
      <c r="X204" s="4" t="s">
        <v>59</v>
      </c>
      <c r="Y204" s="4" t="s">
        <v>59</v>
      </c>
      <c r="Z204" s="4" t="s">
        <v>59</v>
      </c>
      <c r="AA204" s="4" t="s">
        <v>59</v>
      </c>
      <c r="AB204" s="4" t="s">
        <v>59</v>
      </c>
      <c r="AC204" s="4" t="s">
        <v>59</v>
      </c>
      <c r="AD204" s="4" t="s">
        <v>60</v>
      </c>
      <c r="AE204" s="4" t="s">
        <v>61</v>
      </c>
      <c r="AF204" s="4" t="s">
        <v>62</v>
      </c>
      <c r="AG204" s="4" t="s">
        <v>63</v>
      </c>
      <c r="AH204" s="4" t="s">
        <v>63</v>
      </c>
      <c r="AI204" s="4" t="s">
        <v>64</v>
      </c>
      <c r="AJ204" s="4" t="s">
        <v>65</v>
      </c>
      <c r="AK204" s="4" t="s">
        <v>63</v>
      </c>
      <c r="AL204" s="4" t="s">
        <v>102</v>
      </c>
      <c r="AM204" s="4" t="s">
        <v>67</v>
      </c>
      <c r="AN204" s="4" t="s">
        <v>89</v>
      </c>
      <c r="AO204" s="4" t="s">
        <v>63</v>
      </c>
      <c r="AP204" s="4" t="s">
        <v>69</v>
      </c>
      <c r="AQ204" s="4" t="s">
        <v>63</v>
      </c>
      <c r="AR204" s="25">
        <v>8</v>
      </c>
      <c r="AS204" s="4" t="s">
        <v>417</v>
      </c>
    </row>
    <row r="205" spans="1:45" x14ac:dyDescent="0.3">
      <c r="A205">
        <v>204</v>
      </c>
      <c r="B205" s="24">
        <v>46238.350532407407</v>
      </c>
      <c r="C205" s="24">
        <v>46238.354039351849</v>
      </c>
      <c r="D205" s="4" t="s">
        <v>45</v>
      </c>
      <c r="E205" s="4"/>
      <c r="F205" s="1"/>
      <c r="G205" s="4" t="s">
        <v>100</v>
      </c>
      <c r="H205" s="4" t="s">
        <v>47</v>
      </c>
      <c r="I205" s="4" t="s">
        <v>133</v>
      </c>
      <c r="J205" s="4" t="s">
        <v>162</v>
      </c>
      <c r="K205" s="4" t="s">
        <v>109</v>
      </c>
      <c r="L205" s="4" t="s">
        <v>51</v>
      </c>
      <c r="M205" s="4" t="s">
        <v>51</v>
      </c>
      <c r="N205" s="4" t="s">
        <v>116</v>
      </c>
      <c r="O205" s="4" t="s">
        <v>53</v>
      </c>
      <c r="P205" s="4" t="s">
        <v>54</v>
      </c>
      <c r="Q205" s="4" t="s">
        <v>55</v>
      </c>
      <c r="R205" s="4" t="s">
        <v>56</v>
      </c>
      <c r="S205" s="4" t="s">
        <v>57</v>
      </c>
      <c r="T205" s="4" t="s">
        <v>93</v>
      </c>
      <c r="U205" s="4" t="s">
        <v>59</v>
      </c>
      <c r="V205" s="4" t="s">
        <v>59</v>
      </c>
      <c r="W205" s="4" t="s">
        <v>59</v>
      </c>
      <c r="X205" s="4" t="s">
        <v>59</v>
      </c>
      <c r="Y205" s="4" t="s">
        <v>59</v>
      </c>
      <c r="Z205" s="4" t="s">
        <v>59</v>
      </c>
      <c r="AA205" s="4" t="s">
        <v>59</v>
      </c>
      <c r="AB205" s="4" t="s">
        <v>59</v>
      </c>
      <c r="AC205" s="4" t="s">
        <v>59</v>
      </c>
      <c r="AD205" s="4" t="s">
        <v>60</v>
      </c>
      <c r="AE205" s="4" t="s">
        <v>94</v>
      </c>
      <c r="AF205" s="4" t="s">
        <v>62</v>
      </c>
      <c r="AG205" s="4" t="s">
        <v>63</v>
      </c>
      <c r="AH205" s="4" t="s">
        <v>63</v>
      </c>
      <c r="AI205" s="4" t="s">
        <v>63</v>
      </c>
      <c r="AJ205" s="4" t="s">
        <v>82</v>
      </c>
      <c r="AK205" s="4" t="s">
        <v>63</v>
      </c>
      <c r="AL205" s="4" t="s">
        <v>66</v>
      </c>
      <c r="AM205" s="4" t="s">
        <v>67</v>
      </c>
      <c r="AN205" s="4" t="s">
        <v>175</v>
      </c>
      <c r="AO205" s="4" t="s">
        <v>63</v>
      </c>
      <c r="AP205" s="4" t="s">
        <v>98</v>
      </c>
      <c r="AQ205" s="4" t="s">
        <v>63</v>
      </c>
      <c r="AR205" s="25">
        <v>7</v>
      </c>
      <c r="AS205" s="4" t="s">
        <v>418</v>
      </c>
    </row>
    <row r="206" spans="1:45" x14ac:dyDescent="0.3">
      <c r="A206">
        <v>205</v>
      </c>
      <c r="B206" s="24">
        <v>46245.442708333336</v>
      </c>
      <c r="C206" s="24">
        <v>46245.445405092592</v>
      </c>
      <c r="D206" s="4" t="s">
        <v>45</v>
      </c>
      <c r="E206" s="4"/>
      <c r="F206" s="1"/>
      <c r="G206" s="4" t="s">
        <v>46</v>
      </c>
      <c r="H206" s="4" t="s">
        <v>47</v>
      </c>
      <c r="I206" s="4" t="s">
        <v>48</v>
      </c>
      <c r="J206" s="4" t="s">
        <v>49</v>
      </c>
      <c r="K206" s="4" t="s">
        <v>419</v>
      </c>
      <c r="L206" s="4" t="s">
        <v>73</v>
      </c>
      <c r="M206" s="4" t="s">
        <v>73</v>
      </c>
      <c r="N206" s="4" t="s">
        <v>52</v>
      </c>
      <c r="O206" s="4" t="s">
        <v>53</v>
      </c>
      <c r="P206" s="4" t="s">
        <v>74</v>
      </c>
      <c r="Q206" s="4" t="s">
        <v>75</v>
      </c>
      <c r="R206" s="4" t="s">
        <v>76</v>
      </c>
      <c r="S206" s="4" t="s">
        <v>77</v>
      </c>
      <c r="T206" s="4" t="s">
        <v>58</v>
      </c>
      <c r="U206" s="4" t="s">
        <v>87</v>
      </c>
      <c r="V206" s="4" t="s">
        <v>87</v>
      </c>
      <c r="W206" s="4" t="s">
        <v>87</v>
      </c>
      <c r="X206" s="4" t="s">
        <v>87</v>
      </c>
      <c r="Y206" s="4" t="s">
        <v>59</v>
      </c>
      <c r="Z206" s="4" t="s">
        <v>87</v>
      </c>
      <c r="AA206" s="4" t="s">
        <v>87</v>
      </c>
      <c r="AB206" s="4" t="s">
        <v>87</v>
      </c>
      <c r="AC206" s="4" t="s">
        <v>79</v>
      </c>
      <c r="AD206" s="4" t="s">
        <v>60</v>
      </c>
      <c r="AE206" s="4" t="s">
        <v>88</v>
      </c>
      <c r="AF206" s="4" t="s">
        <v>173</v>
      </c>
      <c r="AG206" s="4" t="s">
        <v>63</v>
      </c>
      <c r="AH206" s="4" t="s">
        <v>81</v>
      </c>
      <c r="AI206" s="4" t="s">
        <v>81</v>
      </c>
      <c r="AJ206" s="4" t="s">
        <v>138</v>
      </c>
      <c r="AK206" s="4" t="s">
        <v>63</v>
      </c>
      <c r="AL206" s="4" t="s">
        <v>66</v>
      </c>
      <c r="AM206" s="4" t="s">
        <v>67</v>
      </c>
      <c r="AN206" s="4" t="s">
        <v>68</v>
      </c>
      <c r="AO206" s="4" t="s">
        <v>63</v>
      </c>
      <c r="AP206" s="4" t="s">
        <v>107</v>
      </c>
      <c r="AQ206" s="4" t="s">
        <v>63</v>
      </c>
      <c r="AR206" s="25">
        <v>8</v>
      </c>
      <c r="AS206" s="4" t="s">
        <v>420</v>
      </c>
    </row>
    <row r="207" spans="1:45" x14ac:dyDescent="0.3">
      <c r="A207">
        <v>206</v>
      </c>
      <c r="B207" s="24">
        <v>46245.530486111114</v>
      </c>
      <c r="C207" s="24">
        <v>46245.538622685184</v>
      </c>
      <c r="D207" s="4" t="s">
        <v>45</v>
      </c>
      <c r="E207" s="4"/>
      <c r="F207" s="1"/>
      <c r="G207" s="4" t="s">
        <v>46</v>
      </c>
      <c r="H207" s="4" t="s">
        <v>112</v>
      </c>
      <c r="I207" s="4" t="s">
        <v>113</v>
      </c>
      <c r="J207" s="4" t="s">
        <v>49</v>
      </c>
      <c r="K207" s="4" t="s">
        <v>97</v>
      </c>
      <c r="L207" s="4" t="s">
        <v>73</v>
      </c>
      <c r="M207" s="4" t="s">
        <v>73</v>
      </c>
      <c r="N207" s="4" t="s">
        <v>52</v>
      </c>
      <c r="O207" s="4" t="s">
        <v>53</v>
      </c>
      <c r="P207" s="4" t="s">
        <v>74</v>
      </c>
      <c r="Q207" s="4" t="s">
        <v>75</v>
      </c>
      <c r="R207" s="4" t="s">
        <v>56</v>
      </c>
      <c r="S207" s="4" t="s">
        <v>57</v>
      </c>
      <c r="T207" s="4" t="s">
        <v>58</v>
      </c>
      <c r="U207" s="4" t="s">
        <v>87</v>
      </c>
      <c r="V207" s="4" t="s">
        <v>79</v>
      </c>
      <c r="W207" s="4" t="s">
        <v>59</v>
      </c>
      <c r="X207" s="4" t="s">
        <v>79</v>
      </c>
      <c r="Y207" s="4" t="s">
        <v>59</v>
      </c>
      <c r="Z207" s="4" t="s">
        <v>79</v>
      </c>
      <c r="AA207" s="4" t="s">
        <v>59</v>
      </c>
      <c r="AB207" s="4" t="s">
        <v>79</v>
      </c>
      <c r="AC207" s="4" t="s">
        <v>59</v>
      </c>
      <c r="AD207" s="4" t="s">
        <v>60</v>
      </c>
      <c r="AE207" s="4" t="s">
        <v>61</v>
      </c>
      <c r="AF207" s="4" t="s">
        <v>62</v>
      </c>
      <c r="AG207" s="4" t="s">
        <v>81</v>
      </c>
      <c r="AH207" s="4" t="s">
        <v>81</v>
      </c>
      <c r="AI207" s="4" t="s">
        <v>63</v>
      </c>
      <c r="AJ207" s="4" t="s">
        <v>65</v>
      </c>
      <c r="AK207" s="4" t="s">
        <v>63</v>
      </c>
      <c r="AL207" s="4" t="s">
        <v>120</v>
      </c>
      <c r="AM207" s="4" t="s">
        <v>67</v>
      </c>
      <c r="AN207" s="4" t="s">
        <v>89</v>
      </c>
      <c r="AO207" s="4" t="s">
        <v>63</v>
      </c>
      <c r="AP207" s="4" t="s">
        <v>98</v>
      </c>
      <c r="AQ207" s="4" t="s">
        <v>63</v>
      </c>
      <c r="AR207" s="25">
        <v>7</v>
      </c>
      <c r="AS207" s="4" t="s">
        <v>421</v>
      </c>
    </row>
    <row r="208" spans="1:45" x14ac:dyDescent="0.3">
      <c r="A208">
        <v>207</v>
      </c>
      <c r="B208" s="24">
        <v>46252.759247685186</v>
      </c>
      <c r="C208" s="24">
        <v>46252.76053240741</v>
      </c>
      <c r="D208" s="4" t="s">
        <v>45</v>
      </c>
      <c r="E208" s="4"/>
      <c r="F208" s="1"/>
      <c r="G208" s="4" t="s">
        <v>46</v>
      </c>
      <c r="H208" s="4" t="s">
        <v>91</v>
      </c>
      <c r="I208" s="4" t="s">
        <v>48</v>
      </c>
      <c r="J208" s="4" t="s">
        <v>186</v>
      </c>
      <c r="K208" s="4" t="s">
        <v>109</v>
      </c>
      <c r="L208" s="4" t="s">
        <v>51</v>
      </c>
      <c r="M208" s="4" t="s">
        <v>51</v>
      </c>
      <c r="N208" s="4" t="s">
        <v>116</v>
      </c>
      <c r="O208" s="4" t="s">
        <v>53</v>
      </c>
      <c r="P208" s="4" t="s">
        <v>54</v>
      </c>
      <c r="Q208" s="4" t="s">
        <v>55</v>
      </c>
      <c r="R208" s="4" t="s">
        <v>56</v>
      </c>
      <c r="S208" s="4" t="s">
        <v>77</v>
      </c>
      <c r="T208" s="4" t="s">
        <v>93</v>
      </c>
      <c r="U208" s="4" t="s">
        <v>86</v>
      </c>
      <c r="V208" s="4" t="s">
        <v>86</v>
      </c>
      <c r="W208" s="4" t="s">
        <v>86</v>
      </c>
      <c r="X208" s="4" t="s">
        <v>86</v>
      </c>
      <c r="Y208" s="4" t="s">
        <v>86</v>
      </c>
      <c r="Z208" s="4" t="s">
        <v>86</v>
      </c>
      <c r="AA208" s="4" t="s">
        <v>86</v>
      </c>
      <c r="AB208" s="4" t="s">
        <v>86</v>
      </c>
      <c r="AC208" s="4" t="s">
        <v>86</v>
      </c>
      <c r="AD208" s="4" t="s">
        <v>80</v>
      </c>
      <c r="AE208" s="4" t="s">
        <v>88</v>
      </c>
      <c r="AF208" s="4" t="s">
        <v>147</v>
      </c>
      <c r="AG208" s="4" t="s">
        <v>63</v>
      </c>
      <c r="AH208" s="4" t="s">
        <v>63</v>
      </c>
      <c r="AI208" s="4" t="s">
        <v>63</v>
      </c>
      <c r="AJ208" s="4" t="s">
        <v>82</v>
      </c>
      <c r="AK208" s="4" t="s">
        <v>64</v>
      </c>
      <c r="AL208" s="4" t="s">
        <v>66</v>
      </c>
      <c r="AM208" s="4" t="s">
        <v>67</v>
      </c>
      <c r="AN208" s="4" t="s">
        <v>89</v>
      </c>
      <c r="AO208" s="4" t="s">
        <v>81</v>
      </c>
      <c r="AP208" s="4" t="s">
        <v>110</v>
      </c>
      <c r="AQ208" s="4" t="s">
        <v>81</v>
      </c>
      <c r="AR208" s="25">
        <v>10</v>
      </c>
      <c r="AS208" s="4" t="s">
        <v>422</v>
      </c>
    </row>
    <row r="209" spans="1:45" x14ac:dyDescent="0.3">
      <c r="A209">
        <v>208</v>
      </c>
      <c r="B209" s="24">
        <v>46252.760578703703</v>
      </c>
      <c r="C209" s="24">
        <v>46252.761446759258</v>
      </c>
      <c r="D209" s="4" t="s">
        <v>45</v>
      </c>
      <c r="E209" s="4"/>
      <c r="F209" s="1"/>
      <c r="G209" s="4" t="s">
        <v>100</v>
      </c>
      <c r="H209" s="4" t="s">
        <v>91</v>
      </c>
      <c r="I209" s="4" t="s">
        <v>113</v>
      </c>
      <c r="J209" s="4" t="s">
        <v>125</v>
      </c>
      <c r="K209" s="4" t="s">
        <v>109</v>
      </c>
      <c r="L209" s="4" t="s">
        <v>51</v>
      </c>
      <c r="M209" s="4" t="s">
        <v>51</v>
      </c>
      <c r="N209" s="4" t="s">
        <v>116</v>
      </c>
      <c r="O209" s="4" t="s">
        <v>53</v>
      </c>
      <c r="P209" s="4" t="s">
        <v>74</v>
      </c>
      <c r="Q209" s="4" t="s">
        <v>75</v>
      </c>
      <c r="R209" s="4" t="s">
        <v>76</v>
      </c>
      <c r="S209" s="4" t="s">
        <v>57</v>
      </c>
      <c r="T209" s="4" t="s">
        <v>93</v>
      </c>
      <c r="U209" s="4" t="s">
        <v>86</v>
      </c>
      <c r="V209" s="4" t="s">
        <v>86</v>
      </c>
      <c r="W209" s="4" t="s">
        <v>86</v>
      </c>
      <c r="X209" s="4" t="s">
        <v>86</v>
      </c>
      <c r="Y209" s="4" t="s">
        <v>86</v>
      </c>
      <c r="Z209" s="4" t="s">
        <v>86</v>
      </c>
      <c r="AA209" s="4" t="s">
        <v>86</v>
      </c>
      <c r="AB209" s="4" t="s">
        <v>86</v>
      </c>
      <c r="AC209" s="4" t="s">
        <v>86</v>
      </c>
      <c r="AD209" s="4" t="s">
        <v>60</v>
      </c>
      <c r="AE209" s="4" t="s">
        <v>94</v>
      </c>
      <c r="AF209" s="4" t="s">
        <v>119</v>
      </c>
      <c r="AG209" s="4" t="s">
        <v>81</v>
      </c>
      <c r="AH209" s="4" t="s">
        <v>63</v>
      </c>
      <c r="AI209" s="4" t="s">
        <v>64</v>
      </c>
      <c r="AJ209" s="4" t="s">
        <v>65</v>
      </c>
      <c r="AK209" s="4" t="s">
        <v>63</v>
      </c>
      <c r="AL209" s="4" t="s">
        <v>66</v>
      </c>
      <c r="AM209" s="4" t="s">
        <v>121</v>
      </c>
      <c r="AN209" s="4" t="s">
        <v>68</v>
      </c>
      <c r="AO209" s="4" t="s">
        <v>64</v>
      </c>
      <c r="AP209" s="4" t="s">
        <v>110</v>
      </c>
      <c r="AQ209" s="4" t="s">
        <v>64</v>
      </c>
      <c r="AR209" s="25">
        <v>10</v>
      </c>
      <c r="AS209" s="4" t="s">
        <v>325</v>
      </c>
    </row>
    <row r="210" spans="1:45" x14ac:dyDescent="0.3">
      <c r="A210">
        <v>209</v>
      </c>
      <c r="B210" s="24">
        <v>46252.761458333334</v>
      </c>
      <c r="C210" s="24">
        <v>46252.76253472222</v>
      </c>
      <c r="D210" s="4" t="s">
        <v>45</v>
      </c>
      <c r="E210" s="4"/>
      <c r="F210" s="1"/>
      <c r="G210" s="4" t="s">
        <v>46</v>
      </c>
      <c r="H210" s="4" t="s">
        <v>91</v>
      </c>
      <c r="I210" s="4" t="s">
        <v>113</v>
      </c>
      <c r="J210" s="4" t="s">
        <v>49</v>
      </c>
      <c r="K210" s="4" t="s">
        <v>109</v>
      </c>
      <c r="L210" s="4" t="s">
        <v>51</v>
      </c>
      <c r="M210" s="4" t="s">
        <v>51</v>
      </c>
      <c r="N210" s="4" t="s">
        <v>116</v>
      </c>
      <c r="O210" s="4" t="s">
        <v>53</v>
      </c>
      <c r="P210" s="4" t="s">
        <v>54</v>
      </c>
      <c r="Q210" s="4" t="s">
        <v>331</v>
      </c>
      <c r="R210" s="4" t="s">
        <v>56</v>
      </c>
      <c r="S210" s="4" t="s">
        <v>77</v>
      </c>
      <c r="T210" s="4" t="s">
        <v>93</v>
      </c>
      <c r="U210" s="4" t="s">
        <v>86</v>
      </c>
      <c r="V210" s="4" t="s">
        <v>86</v>
      </c>
      <c r="W210" s="4" t="s">
        <v>86</v>
      </c>
      <c r="X210" s="4" t="s">
        <v>86</v>
      </c>
      <c r="Y210" s="4" t="s">
        <v>86</v>
      </c>
      <c r="Z210" s="4" t="s">
        <v>86</v>
      </c>
      <c r="AA210" s="4" t="s">
        <v>86</v>
      </c>
      <c r="AB210" s="4" t="s">
        <v>87</v>
      </c>
      <c r="AC210" s="4" t="s">
        <v>86</v>
      </c>
      <c r="AD210" s="4" t="s">
        <v>60</v>
      </c>
      <c r="AE210" s="4" t="s">
        <v>94</v>
      </c>
      <c r="AF210" s="4" t="s">
        <v>119</v>
      </c>
      <c r="AG210" s="4" t="s">
        <v>64</v>
      </c>
      <c r="AH210" s="4" t="s">
        <v>64</v>
      </c>
      <c r="AI210" s="4" t="s">
        <v>64</v>
      </c>
      <c r="AJ210" s="4" t="s">
        <v>65</v>
      </c>
      <c r="AK210" s="4" t="s">
        <v>64</v>
      </c>
      <c r="AL210" s="4" t="s">
        <v>120</v>
      </c>
      <c r="AM210" s="4" t="s">
        <v>67</v>
      </c>
      <c r="AN210" s="4" t="s">
        <v>89</v>
      </c>
      <c r="AO210" s="4" t="s">
        <v>63</v>
      </c>
      <c r="AP210" s="4" t="s">
        <v>110</v>
      </c>
      <c r="AQ210" s="4" t="s">
        <v>63</v>
      </c>
      <c r="AR210" s="25">
        <v>10</v>
      </c>
      <c r="AS210" s="4" t="s">
        <v>423</v>
      </c>
    </row>
    <row r="211" spans="1:45" x14ac:dyDescent="0.3">
      <c r="A211">
        <v>210</v>
      </c>
      <c r="B211" s="24">
        <v>46252.762546296297</v>
      </c>
      <c r="C211" s="24">
        <v>46252.763379629629</v>
      </c>
      <c r="D211" s="4" t="s">
        <v>45</v>
      </c>
      <c r="E211" s="4"/>
      <c r="F211" s="1"/>
      <c r="G211" s="4" t="s">
        <v>100</v>
      </c>
      <c r="H211" s="4" t="s">
        <v>47</v>
      </c>
      <c r="I211" s="4" t="s">
        <v>113</v>
      </c>
      <c r="J211" s="4" t="s">
        <v>125</v>
      </c>
      <c r="K211" s="4" t="s">
        <v>424</v>
      </c>
      <c r="L211" s="4" t="s">
        <v>51</v>
      </c>
      <c r="M211" s="4" t="s">
        <v>51</v>
      </c>
      <c r="N211" s="4" t="s">
        <v>116</v>
      </c>
      <c r="O211" s="4" t="s">
        <v>53</v>
      </c>
      <c r="P211" s="4" t="s">
        <v>54</v>
      </c>
      <c r="Q211" s="4" t="s">
        <v>55</v>
      </c>
      <c r="R211" s="4" t="s">
        <v>56</v>
      </c>
      <c r="S211" s="4" t="s">
        <v>57</v>
      </c>
      <c r="T211" s="4" t="s">
        <v>93</v>
      </c>
      <c r="U211" s="4" t="s">
        <v>86</v>
      </c>
      <c r="V211" s="4" t="s">
        <v>86</v>
      </c>
      <c r="W211" s="4" t="s">
        <v>86</v>
      </c>
      <c r="X211" s="4" t="s">
        <v>86</v>
      </c>
      <c r="Y211" s="4" t="s">
        <v>86</v>
      </c>
      <c r="Z211" s="4" t="s">
        <v>86</v>
      </c>
      <c r="AA211" s="4" t="s">
        <v>86</v>
      </c>
      <c r="AB211" s="4" t="s">
        <v>86</v>
      </c>
      <c r="AC211" s="4" t="s">
        <v>86</v>
      </c>
      <c r="AD211" s="4" t="s">
        <v>80</v>
      </c>
      <c r="AE211" s="4" t="s">
        <v>61</v>
      </c>
      <c r="AF211" s="4" t="s">
        <v>119</v>
      </c>
      <c r="AG211" s="4" t="s">
        <v>63</v>
      </c>
      <c r="AH211" s="4" t="s">
        <v>64</v>
      </c>
      <c r="AI211" s="4" t="s">
        <v>64</v>
      </c>
      <c r="AJ211" s="4" t="s">
        <v>65</v>
      </c>
      <c r="AK211" s="4" t="s">
        <v>64</v>
      </c>
      <c r="AL211" s="4" t="s">
        <v>66</v>
      </c>
      <c r="AM211" s="4" t="s">
        <v>67</v>
      </c>
      <c r="AN211" s="4" t="s">
        <v>175</v>
      </c>
      <c r="AO211" s="4" t="s">
        <v>64</v>
      </c>
      <c r="AP211" s="4" t="s">
        <v>110</v>
      </c>
      <c r="AQ211" s="4" t="s">
        <v>63</v>
      </c>
      <c r="AR211" s="25">
        <v>10</v>
      </c>
      <c r="AS211" s="4" t="s">
        <v>325</v>
      </c>
    </row>
    <row r="212" spans="1:45" x14ac:dyDescent="0.3">
      <c r="A212">
        <v>211</v>
      </c>
      <c r="B212" s="24">
        <v>46252.763414351852</v>
      </c>
      <c r="C212" s="24">
        <v>46252.764826388891</v>
      </c>
      <c r="D212" s="4" t="s">
        <v>45</v>
      </c>
      <c r="E212" s="4"/>
      <c r="F212" s="1"/>
      <c r="G212" s="4" t="s">
        <v>100</v>
      </c>
      <c r="H212" s="4" t="s">
        <v>47</v>
      </c>
      <c r="I212" s="4" t="s">
        <v>113</v>
      </c>
      <c r="J212" s="4" t="s">
        <v>71</v>
      </c>
      <c r="K212" s="4" t="s">
        <v>333</v>
      </c>
      <c r="L212" s="4" t="s">
        <v>51</v>
      </c>
      <c r="M212" s="4" t="s">
        <v>51</v>
      </c>
      <c r="N212" s="4" t="s">
        <v>116</v>
      </c>
      <c r="O212" s="4" t="s">
        <v>53</v>
      </c>
      <c r="P212" s="4" t="s">
        <v>54</v>
      </c>
      <c r="Q212" s="4" t="s">
        <v>55</v>
      </c>
      <c r="R212" s="4" t="s">
        <v>56</v>
      </c>
      <c r="S212" s="4" t="s">
        <v>57</v>
      </c>
      <c r="T212" s="4" t="s">
        <v>93</v>
      </c>
      <c r="U212" s="4" t="s">
        <v>86</v>
      </c>
      <c r="V212" s="4" t="s">
        <v>86</v>
      </c>
      <c r="W212" s="4" t="s">
        <v>86</v>
      </c>
      <c r="X212" s="4" t="s">
        <v>86</v>
      </c>
      <c r="Y212" s="4" t="s">
        <v>86</v>
      </c>
      <c r="Z212" s="4" t="s">
        <v>86</v>
      </c>
      <c r="AA212" s="4" t="s">
        <v>86</v>
      </c>
      <c r="AB212" s="4" t="s">
        <v>86</v>
      </c>
      <c r="AC212" s="4" t="s">
        <v>86</v>
      </c>
      <c r="AD212" s="4" t="s">
        <v>60</v>
      </c>
      <c r="AE212" s="4" t="s">
        <v>94</v>
      </c>
      <c r="AF212" s="4" t="s">
        <v>119</v>
      </c>
      <c r="AG212" s="4" t="s">
        <v>64</v>
      </c>
      <c r="AH212" s="4" t="s">
        <v>64</v>
      </c>
      <c r="AI212" s="4" t="s">
        <v>64</v>
      </c>
      <c r="AJ212" s="4" t="s">
        <v>65</v>
      </c>
      <c r="AK212" s="4" t="s">
        <v>64</v>
      </c>
      <c r="AL212" s="4" t="s">
        <v>102</v>
      </c>
      <c r="AM212" s="4" t="s">
        <v>67</v>
      </c>
      <c r="AN212" s="4" t="s">
        <v>175</v>
      </c>
      <c r="AO212" s="4" t="s">
        <v>64</v>
      </c>
      <c r="AP212" s="4" t="s">
        <v>110</v>
      </c>
      <c r="AQ212" s="4" t="s">
        <v>64</v>
      </c>
      <c r="AR212" s="25">
        <v>10</v>
      </c>
      <c r="AS212" s="4" t="s">
        <v>425</v>
      </c>
    </row>
    <row r="213" spans="1:45" x14ac:dyDescent="0.3">
      <c r="A213">
        <v>212</v>
      </c>
      <c r="B213" s="24">
        <v>46252.764849537038</v>
      </c>
      <c r="C213" s="24">
        <v>46252.766111111108</v>
      </c>
      <c r="D213" s="4" t="s">
        <v>45</v>
      </c>
      <c r="E213" s="4"/>
      <c r="F213" s="1"/>
      <c r="G213" s="4" t="s">
        <v>46</v>
      </c>
      <c r="H213" s="4" t="s">
        <v>47</v>
      </c>
      <c r="I213" s="4" t="s">
        <v>84</v>
      </c>
      <c r="J213" s="4" t="s">
        <v>162</v>
      </c>
      <c r="K213" s="4" t="s">
        <v>242</v>
      </c>
      <c r="L213" s="4" t="s">
        <v>51</v>
      </c>
      <c r="M213" s="4" t="s">
        <v>51</v>
      </c>
      <c r="N213" s="4" t="s">
        <v>116</v>
      </c>
      <c r="O213" s="4" t="s">
        <v>53</v>
      </c>
      <c r="P213" s="4" t="s">
        <v>54</v>
      </c>
      <c r="Q213" s="4" t="s">
        <v>55</v>
      </c>
      <c r="R213" s="4" t="s">
        <v>56</v>
      </c>
      <c r="S213" s="4" t="s">
        <v>57</v>
      </c>
      <c r="T213" s="4" t="s">
        <v>93</v>
      </c>
      <c r="U213" s="4" t="s">
        <v>86</v>
      </c>
      <c r="V213" s="4" t="s">
        <v>86</v>
      </c>
      <c r="W213" s="4" t="s">
        <v>86</v>
      </c>
      <c r="X213" s="4" t="s">
        <v>86</v>
      </c>
      <c r="Y213" s="4" t="s">
        <v>86</v>
      </c>
      <c r="Z213" s="4" t="s">
        <v>86</v>
      </c>
      <c r="AA213" s="4" t="s">
        <v>86</v>
      </c>
      <c r="AB213" s="4" t="s">
        <v>86</v>
      </c>
      <c r="AC213" s="4" t="s">
        <v>86</v>
      </c>
      <c r="AD213" s="4" t="s">
        <v>60</v>
      </c>
      <c r="AE213" s="4" t="s">
        <v>61</v>
      </c>
      <c r="AF213" s="4" t="s">
        <v>62</v>
      </c>
      <c r="AG213" s="4" t="s">
        <v>64</v>
      </c>
      <c r="AH213" s="4" t="s">
        <v>64</v>
      </c>
      <c r="AI213" s="4" t="s">
        <v>63</v>
      </c>
      <c r="AJ213" s="4" t="s">
        <v>82</v>
      </c>
      <c r="AK213" s="4" t="s">
        <v>64</v>
      </c>
      <c r="AL213" s="4" t="s">
        <v>120</v>
      </c>
      <c r="AM213" s="4" t="s">
        <v>67</v>
      </c>
      <c r="AN213" s="4" t="s">
        <v>175</v>
      </c>
      <c r="AO213" s="4" t="s">
        <v>64</v>
      </c>
      <c r="AP213" s="4" t="s">
        <v>110</v>
      </c>
      <c r="AQ213" s="4" t="s">
        <v>64</v>
      </c>
      <c r="AR213" s="25">
        <v>10</v>
      </c>
      <c r="AS213" s="4" t="s">
        <v>426</v>
      </c>
    </row>
    <row r="214" spans="1:45" x14ac:dyDescent="0.3">
      <c r="A214">
        <v>213</v>
      </c>
      <c r="B214" s="24">
        <v>46252.775150462963</v>
      </c>
      <c r="C214" s="24">
        <v>46252.783032407409</v>
      </c>
      <c r="D214" s="4" t="s">
        <v>45</v>
      </c>
      <c r="E214" s="4"/>
      <c r="F214" s="1"/>
      <c r="G214" s="4" t="s">
        <v>46</v>
      </c>
      <c r="H214" s="4" t="s">
        <v>91</v>
      </c>
      <c r="I214" s="4" t="s">
        <v>48</v>
      </c>
      <c r="J214" s="4" t="s">
        <v>49</v>
      </c>
      <c r="K214" s="4" t="s">
        <v>427</v>
      </c>
      <c r="L214" s="4" t="s">
        <v>73</v>
      </c>
      <c r="M214" s="4" t="s">
        <v>73</v>
      </c>
      <c r="N214" s="4" t="s">
        <v>52</v>
      </c>
      <c r="O214" s="4" t="s">
        <v>53</v>
      </c>
      <c r="P214" s="4" t="s">
        <v>74</v>
      </c>
      <c r="Q214" s="4" t="s">
        <v>75</v>
      </c>
      <c r="R214" s="4" t="s">
        <v>76</v>
      </c>
      <c r="S214" s="4" t="s">
        <v>77</v>
      </c>
      <c r="T214" s="4" t="s">
        <v>58</v>
      </c>
      <c r="U214" s="4" t="s">
        <v>79</v>
      </c>
      <c r="V214" s="4" t="s">
        <v>79</v>
      </c>
      <c r="W214" s="4" t="s">
        <v>59</v>
      </c>
      <c r="X214" s="4" t="s">
        <v>87</v>
      </c>
      <c r="Y214" s="4" t="s">
        <v>59</v>
      </c>
      <c r="Z214" s="4" t="s">
        <v>87</v>
      </c>
      <c r="AA214" s="4" t="s">
        <v>59</v>
      </c>
      <c r="AB214" s="4" t="s">
        <v>59</v>
      </c>
      <c r="AC214" s="4" t="s">
        <v>59</v>
      </c>
      <c r="AD214" s="4" t="s">
        <v>60</v>
      </c>
      <c r="AE214" s="4" t="s">
        <v>88</v>
      </c>
      <c r="AF214" s="4" t="s">
        <v>62</v>
      </c>
      <c r="AG214" s="4" t="s">
        <v>63</v>
      </c>
      <c r="AH214" s="4" t="s">
        <v>63</v>
      </c>
      <c r="AI214" s="4" t="s">
        <v>63</v>
      </c>
      <c r="AJ214" s="4" t="s">
        <v>65</v>
      </c>
      <c r="AK214" s="4" t="s">
        <v>63</v>
      </c>
      <c r="AL214" s="4" t="s">
        <v>66</v>
      </c>
      <c r="AM214" s="4" t="s">
        <v>67</v>
      </c>
      <c r="AN214" s="4" t="s">
        <v>89</v>
      </c>
      <c r="AO214" s="4" t="s">
        <v>63</v>
      </c>
      <c r="AP214" s="4" t="s">
        <v>107</v>
      </c>
      <c r="AQ214" s="4" t="s">
        <v>63</v>
      </c>
      <c r="AR214" s="25">
        <v>8</v>
      </c>
      <c r="AS214" s="4" t="s">
        <v>428</v>
      </c>
    </row>
    <row r="215" spans="1:45" x14ac:dyDescent="0.3">
      <c r="A215">
        <v>214</v>
      </c>
      <c r="B215" s="24">
        <v>46252.781192129631</v>
      </c>
      <c r="C215" s="24">
        <v>46252.784872685188</v>
      </c>
      <c r="D215" s="4" t="s">
        <v>45</v>
      </c>
      <c r="E215" s="4"/>
      <c r="F215" s="1"/>
      <c r="G215" s="4" t="s">
        <v>46</v>
      </c>
      <c r="H215" s="4" t="s">
        <v>91</v>
      </c>
      <c r="I215" s="4" t="s">
        <v>113</v>
      </c>
      <c r="J215" s="4" t="s">
        <v>49</v>
      </c>
      <c r="K215" s="4" t="s">
        <v>339</v>
      </c>
      <c r="L215" s="4" t="s">
        <v>51</v>
      </c>
      <c r="M215" s="4" t="s">
        <v>73</v>
      </c>
      <c r="N215" s="4" t="s">
        <v>52</v>
      </c>
      <c r="O215" s="4" t="s">
        <v>228</v>
      </c>
      <c r="P215" s="4" t="s">
        <v>54</v>
      </c>
      <c r="Q215" s="4" t="s">
        <v>75</v>
      </c>
      <c r="R215" s="4" t="s">
        <v>76</v>
      </c>
      <c r="S215" s="4" t="s">
        <v>77</v>
      </c>
      <c r="T215" s="4" t="s">
        <v>58</v>
      </c>
      <c r="U215" s="4" t="s">
        <v>79</v>
      </c>
      <c r="V215" s="4" t="s">
        <v>87</v>
      </c>
      <c r="W215" s="4" t="s">
        <v>79</v>
      </c>
      <c r="X215" s="4" t="s">
        <v>59</v>
      </c>
      <c r="Y215" s="4" t="s">
        <v>59</v>
      </c>
      <c r="Z215" s="4" t="s">
        <v>79</v>
      </c>
      <c r="AA215" s="4" t="s">
        <v>59</v>
      </c>
      <c r="AB215" s="4" t="s">
        <v>79</v>
      </c>
      <c r="AC215" s="4" t="s">
        <v>79</v>
      </c>
      <c r="AD215" s="4" t="s">
        <v>60</v>
      </c>
      <c r="AE215" s="4" t="s">
        <v>61</v>
      </c>
      <c r="AF215" s="4" t="s">
        <v>119</v>
      </c>
      <c r="AG215" s="4" t="s">
        <v>63</v>
      </c>
      <c r="AH215" s="4" t="s">
        <v>81</v>
      </c>
      <c r="AI215" s="4" t="s">
        <v>63</v>
      </c>
      <c r="AJ215" s="4" t="s">
        <v>82</v>
      </c>
      <c r="AK215" s="4" t="s">
        <v>63</v>
      </c>
      <c r="AL215" s="4" t="s">
        <v>102</v>
      </c>
      <c r="AM215" s="4" t="s">
        <v>67</v>
      </c>
      <c r="AN215" s="4" t="s">
        <v>175</v>
      </c>
      <c r="AO215" s="4" t="s">
        <v>81</v>
      </c>
      <c r="AP215" s="4" t="s">
        <v>107</v>
      </c>
      <c r="AQ215" s="4" t="s">
        <v>81</v>
      </c>
      <c r="AR215" s="25">
        <v>8</v>
      </c>
      <c r="AS215" s="4" t="s">
        <v>429</v>
      </c>
    </row>
    <row r="216" spans="1:45" x14ac:dyDescent="0.3">
      <c r="A216">
        <v>215</v>
      </c>
      <c r="B216" s="24">
        <v>46252.783946759257</v>
      </c>
      <c r="C216" s="24">
        <v>46252.801585648151</v>
      </c>
      <c r="D216" s="4" t="s">
        <v>45</v>
      </c>
      <c r="E216" s="4"/>
      <c r="F216" s="1"/>
      <c r="G216" s="4" t="s">
        <v>100</v>
      </c>
      <c r="H216" s="4" t="s">
        <v>47</v>
      </c>
      <c r="I216" s="4" t="s">
        <v>48</v>
      </c>
      <c r="J216" s="4" t="s">
        <v>162</v>
      </c>
      <c r="K216" s="4" t="s">
        <v>430</v>
      </c>
      <c r="L216" s="4" t="s">
        <v>73</v>
      </c>
      <c r="M216" s="4" t="s">
        <v>73</v>
      </c>
      <c r="N216" s="4" t="s">
        <v>52</v>
      </c>
      <c r="O216" s="4" t="s">
        <v>53</v>
      </c>
      <c r="P216" s="4" t="s">
        <v>74</v>
      </c>
      <c r="Q216" s="4" t="s">
        <v>75</v>
      </c>
      <c r="R216" s="4" t="s">
        <v>76</v>
      </c>
      <c r="S216" s="4" t="s">
        <v>77</v>
      </c>
      <c r="T216" s="4" t="s">
        <v>58</v>
      </c>
      <c r="U216" s="4" t="s">
        <v>59</v>
      </c>
      <c r="V216" s="4" t="s">
        <v>59</v>
      </c>
      <c r="W216" s="4" t="s">
        <v>59</v>
      </c>
      <c r="X216" s="4" t="s">
        <v>79</v>
      </c>
      <c r="Y216" s="4" t="s">
        <v>59</v>
      </c>
      <c r="Z216" s="4" t="s">
        <v>87</v>
      </c>
      <c r="AA216" s="4" t="s">
        <v>59</v>
      </c>
      <c r="AB216" s="4" t="s">
        <v>59</v>
      </c>
      <c r="AC216" s="4" t="s">
        <v>59</v>
      </c>
      <c r="AD216" s="4" t="s">
        <v>60</v>
      </c>
      <c r="AE216" s="4" t="s">
        <v>88</v>
      </c>
      <c r="AF216" s="4" t="s">
        <v>62</v>
      </c>
      <c r="AG216" s="4" t="s">
        <v>63</v>
      </c>
      <c r="AH216" s="4" t="s">
        <v>63</v>
      </c>
      <c r="AI216" s="4" t="s">
        <v>63</v>
      </c>
      <c r="AJ216" s="4" t="s">
        <v>65</v>
      </c>
      <c r="AK216" s="4" t="s">
        <v>63</v>
      </c>
      <c r="AL216" s="4" t="s">
        <v>120</v>
      </c>
      <c r="AM216" s="4" t="s">
        <v>67</v>
      </c>
      <c r="AN216" s="4" t="s">
        <v>89</v>
      </c>
      <c r="AO216" s="4" t="s">
        <v>63</v>
      </c>
      <c r="AP216" s="4" t="s">
        <v>107</v>
      </c>
      <c r="AQ216" s="4" t="s">
        <v>63</v>
      </c>
      <c r="AR216" s="25">
        <v>9</v>
      </c>
      <c r="AS216" s="4" t="s">
        <v>431</v>
      </c>
    </row>
    <row r="217" spans="1:45" x14ac:dyDescent="0.3">
      <c r="A217">
        <v>216</v>
      </c>
      <c r="B217" s="24">
        <v>46252.785277777781</v>
      </c>
      <c r="C217" s="24">
        <v>46252.807106481479</v>
      </c>
      <c r="D217" s="4" t="s">
        <v>45</v>
      </c>
      <c r="E217" s="4"/>
      <c r="F217" s="1"/>
      <c r="G217" s="4" t="s">
        <v>100</v>
      </c>
      <c r="H217" s="4" t="s">
        <v>91</v>
      </c>
      <c r="I217" s="4" t="s">
        <v>48</v>
      </c>
      <c r="J217" s="4" t="s">
        <v>162</v>
      </c>
      <c r="K217" s="4" t="s">
        <v>284</v>
      </c>
      <c r="L217" s="4" t="s">
        <v>51</v>
      </c>
      <c r="M217" s="4" t="s">
        <v>51</v>
      </c>
      <c r="N217" s="4" t="s">
        <v>116</v>
      </c>
      <c r="O217" s="4" t="s">
        <v>228</v>
      </c>
      <c r="P217" s="4" t="s">
        <v>54</v>
      </c>
      <c r="Q217" s="4" t="s">
        <v>75</v>
      </c>
      <c r="R217" s="4" t="s">
        <v>76</v>
      </c>
      <c r="S217" s="4" t="s">
        <v>77</v>
      </c>
      <c r="T217" s="4" t="s">
        <v>58</v>
      </c>
      <c r="U217" s="4" t="s">
        <v>79</v>
      </c>
      <c r="V217" s="4" t="s">
        <v>79</v>
      </c>
      <c r="W217" s="4" t="s">
        <v>59</v>
      </c>
      <c r="X217" s="4" t="s">
        <v>79</v>
      </c>
      <c r="Y217" s="4" t="s">
        <v>59</v>
      </c>
      <c r="Z217" s="4" t="s">
        <v>59</v>
      </c>
      <c r="AA217" s="4" t="s">
        <v>59</v>
      </c>
      <c r="AB217" s="4" t="s">
        <v>59</v>
      </c>
      <c r="AC217" s="4" t="s">
        <v>59</v>
      </c>
      <c r="AD217" s="4" t="s">
        <v>60</v>
      </c>
      <c r="AE217" s="4" t="s">
        <v>61</v>
      </c>
      <c r="AF217" s="4" t="s">
        <v>62</v>
      </c>
      <c r="AG217" s="4" t="s">
        <v>63</v>
      </c>
      <c r="AH217" s="4" t="s">
        <v>81</v>
      </c>
      <c r="AI217" s="4" t="s">
        <v>63</v>
      </c>
      <c r="AJ217" s="4" t="s">
        <v>65</v>
      </c>
      <c r="AK217" s="4" t="s">
        <v>63</v>
      </c>
      <c r="AL217" s="4" t="s">
        <v>102</v>
      </c>
      <c r="AM217" s="4" t="s">
        <v>67</v>
      </c>
      <c r="AN217" s="4" t="s">
        <v>175</v>
      </c>
      <c r="AO217" s="4" t="s">
        <v>81</v>
      </c>
      <c r="AP217" s="4" t="s">
        <v>98</v>
      </c>
      <c r="AQ217" s="4" t="s">
        <v>63</v>
      </c>
      <c r="AR217" s="25">
        <v>9</v>
      </c>
      <c r="AS217" s="4"/>
    </row>
    <row r="218" spans="1:45" x14ac:dyDescent="0.3">
      <c r="A218">
        <v>217</v>
      </c>
      <c r="B218" s="24">
        <v>46252.804293981484</v>
      </c>
      <c r="C218" s="24">
        <v>46252.807824074072</v>
      </c>
      <c r="D218" s="4" t="s">
        <v>45</v>
      </c>
      <c r="E218" s="4"/>
      <c r="F218" s="1"/>
      <c r="G218" s="4" t="s">
        <v>46</v>
      </c>
      <c r="H218" s="4" t="s">
        <v>91</v>
      </c>
      <c r="I218" s="4" t="s">
        <v>84</v>
      </c>
      <c r="J218" s="4" t="s">
        <v>49</v>
      </c>
      <c r="K218" s="4" t="s">
        <v>427</v>
      </c>
      <c r="L218" s="4" t="s">
        <v>146</v>
      </c>
      <c r="M218" s="4" t="s">
        <v>146</v>
      </c>
      <c r="N218" s="4" t="s">
        <v>52</v>
      </c>
      <c r="O218" s="4" t="s">
        <v>228</v>
      </c>
      <c r="P218" s="4" t="s">
        <v>74</v>
      </c>
      <c r="Q218" s="4" t="s">
        <v>55</v>
      </c>
      <c r="R218" s="4" t="s">
        <v>56</v>
      </c>
      <c r="S218" s="4" t="s">
        <v>106</v>
      </c>
      <c r="T218" s="4" t="s">
        <v>58</v>
      </c>
      <c r="U218" s="4" t="s">
        <v>86</v>
      </c>
      <c r="V218" s="4" t="s">
        <v>86</v>
      </c>
      <c r="W218" s="4" t="s">
        <v>86</v>
      </c>
      <c r="X218" s="4" t="s">
        <v>86</v>
      </c>
      <c r="Y218" s="4" t="s">
        <v>86</v>
      </c>
      <c r="Z218" s="4" t="s">
        <v>86</v>
      </c>
      <c r="AA218" s="4" t="s">
        <v>86</v>
      </c>
      <c r="AB218" s="4" t="s">
        <v>86</v>
      </c>
      <c r="AC218" s="4" t="s">
        <v>86</v>
      </c>
      <c r="AD218" s="4" t="s">
        <v>60</v>
      </c>
      <c r="AE218" s="4" t="s">
        <v>61</v>
      </c>
      <c r="AF218" s="4" t="s">
        <v>62</v>
      </c>
      <c r="AG218" s="4" t="s">
        <v>63</v>
      </c>
      <c r="AH218" s="4" t="s">
        <v>63</v>
      </c>
      <c r="AI218" s="4" t="s">
        <v>81</v>
      </c>
      <c r="AJ218" s="4" t="s">
        <v>65</v>
      </c>
      <c r="AK218" s="4" t="s">
        <v>63</v>
      </c>
      <c r="AL218" s="4" t="s">
        <v>66</v>
      </c>
      <c r="AM218" s="4" t="s">
        <v>67</v>
      </c>
      <c r="AN218" s="4" t="s">
        <v>89</v>
      </c>
      <c r="AO218" s="4" t="s">
        <v>63</v>
      </c>
      <c r="AP218" s="4" t="s">
        <v>98</v>
      </c>
      <c r="AQ218" s="4" t="s">
        <v>63</v>
      </c>
      <c r="AR218" s="25">
        <v>7</v>
      </c>
      <c r="AS218" s="4"/>
    </row>
    <row r="219" spans="1:45" x14ac:dyDescent="0.3">
      <c r="A219">
        <v>218</v>
      </c>
      <c r="B219" s="24">
        <v>46252.80667824074</v>
      </c>
      <c r="C219" s="24">
        <v>46252.809074074074</v>
      </c>
      <c r="D219" s="4" t="s">
        <v>45</v>
      </c>
      <c r="E219" s="4"/>
      <c r="F219" s="1"/>
      <c r="G219" s="4" t="s">
        <v>100</v>
      </c>
      <c r="H219" s="4" t="s">
        <v>91</v>
      </c>
      <c r="I219" s="4" t="s">
        <v>113</v>
      </c>
      <c r="J219" s="4" t="s">
        <v>125</v>
      </c>
      <c r="K219" s="4" t="s">
        <v>432</v>
      </c>
      <c r="L219" s="4" t="s">
        <v>51</v>
      </c>
      <c r="M219" s="4" t="s">
        <v>51</v>
      </c>
      <c r="N219" s="4" t="s">
        <v>116</v>
      </c>
      <c r="O219" s="4" t="s">
        <v>53</v>
      </c>
      <c r="P219" s="4" t="s">
        <v>54</v>
      </c>
      <c r="Q219" s="4" t="s">
        <v>55</v>
      </c>
      <c r="R219" s="4" t="s">
        <v>56</v>
      </c>
      <c r="S219" s="4" t="s">
        <v>57</v>
      </c>
      <c r="T219" s="4" t="s">
        <v>93</v>
      </c>
      <c r="U219" s="4" t="s">
        <v>86</v>
      </c>
      <c r="V219" s="4" t="s">
        <v>87</v>
      </c>
      <c r="W219" s="4" t="s">
        <v>86</v>
      </c>
      <c r="X219" s="4" t="s">
        <v>86</v>
      </c>
      <c r="Y219" s="4" t="s">
        <v>86</v>
      </c>
      <c r="Z219" s="4" t="s">
        <v>86</v>
      </c>
      <c r="AA219" s="4" t="s">
        <v>86</v>
      </c>
      <c r="AB219" s="4" t="s">
        <v>86</v>
      </c>
      <c r="AC219" s="4" t="s">
        <v>86</v>
      </c>
      <c r="AD219" s="4" t="s">
        <v>60</v>
      </c>
      <c r="AE219" s="4" t="s">
        <v>94</v>
      </c>
      <c r="AF219" s="4" t="s">
        <v>119</v>
      </c>
      <c r="AG219" s="4" t="s">
        <v>64</v>
      </c>
      <c r="AH219" s="4" t="s">
        <v>64</v>
      </c>
      <c r="AI219" s="4" t="s">
        <v>64</v>
      </c>
      <c r="AJ219" s="4" t="s">
        <v>65</v>
      </c>
      <c r="AK219" s="4" t="s">
        <v>64</v>
      </c>
      <c r="AL219" s="4" t="s">
        <v>120</v>
      </c>
      <c r="AM219" s="4" t="s">
        <v>67</v>
      </c>
      <c r="AN219" s="4" t="s">
        <v>68</v>
      </c>
      <c r="AO219" s="4" t="s">
        <v>81</v>
      </c>
      <c r="AP219" s="4" t="s">
        <v>69</v>
      </c>
      <c r="AQ219" s="4" t="s">
        <v>64</v>
      </c>
      <c r="AR219" s="25">
        <v>10</v>
      </c>
      <c r="AS219" s="4"/>
    </row>
    <row r="220" spans="1:45" x14ac:dyDescent="0.3">
      <c r="A220">
        <v>219</v>
      </c>
      <c r="B220" s="24">
        <v>46252.808136574073</v>
      </c>
      <c r="C220" s="24">
        <v>46252.81490740741</v>
      </c>
      <c r="D220" s="4" t="s">
        <v>45</v>
      </c>
      <c r="E220" s="4"/>
      <c r="F220" s="1"/>
      <c r="G220" s="4" t="s">
        <v>100</v>
      </c>
      <c r="H220" s="4" t="s">
        <v>318</v>
      </c>
      <c r="I220" s="4" t="s">
        <v>48</v>
      </c>
      <c r="J220" s="4" t="s">
        <v>49</v>
      </c>
      <c r="K220" s="4" t="s">
        <v>97</v>
      </c>
      <c r="L220" s="4" t="s">
        <v>146</v>
      </c>
      <c r="M220" s="4" t="s">
        <v>146</v>
      </c>
      <c r="N220" s="4" t="s">
        <v>52</v>
      </c>
      <c r="O220" s="4" t="s">
        <v>53</v>
      </c>
      <c r="P220" s="4" t="s">
        <v>74</v>
      </c>
      <c r="Q220" s="4" t="s">
        <v>55</v>
      </c>
      <c r="R220" s="4" t="s">
        <v>76</v>
      </c>
      <c r="S220" s="4" t="s">
        <v>106</v>
      </c>
      <c r="T220" s="4" t="s">
        <v>58</v>
      </c>
      <c r="U220" s="4" t="s">
        <v>79</v>
      </c>
      <c r="V220" s="4" t="s">
        <v>79</v>
      </c>
      <c r="W220" s="4" t="s">
        <v>79</v>
      </c>
      <c r="X220" s="4" t="s">
        <v>87</v>
      </c>
      <c r="Y220" s="4" t="s">
        <v>59</v>
      </c>
      <c r="Z220" s="4" t="s">
        <v>87</v>
      </c>
      <c r="AA220" s="4" t="s">
        <v>59</v>
      </c>
      <c r="AB220" s="4" t="s">
        <v>79</v>
      </c>
      <c r="AC220" s="4" t="s">
        <v>79</v>
      </c>
      <c r="AD220" s="4" t="s">
        <v>60</v>
      </c>
      <c r="AE220" s="4" t="s">
        <v>61</v>
      </c>
      <c r="AF220" s="4" t="s">
        <v>119</v>
      </c>
      <c r="AG220" s="4" t="s">
        <v>63</v>
      </c>
      <c r="AH220" s="4" t="s">
        <v>63</v>
      </c>
      <c r="AI220" s="4" t="s">
        <v>63</v>
      </c>
      <c r="AJ220" s="4" t="s">
        <v>65</v>
      </c>
      <c r="AK220" s="4" t="s">
        <v>63</v>
      </c>
      <c r="AL220" s="4" t="s">
        <v>66</v>
      </c>
      <c r="AM220" s="4" t="s">
        <v>121</v>
      </c>
      <c r="AN220" s="4" t="s">
        <v>68</v>
      </c>
      <c r="AO220" s="4" t="s">
        <v>81</v>
      </c>
      <c r="AP220" s="4" t="s">
        <v>69</v>
      </c>
      <c r="AQ220" s="4" t="s">
        <v>63</v>
      </c>
      <c r="AR220" s="25">
        <v>6</v>
      </c>
      <c r="AS220" s="4"/>
    </row>
    <row r="221" spans="1:45" x14ac:dyDescent="0.3">
      <c r="A221">
        <v>220</v>
      </c>
      <c r="B221" s="24">
        <v>46252.805717592593</v>
      </c>
      <c r="C221" s="24">
        <v>46252.817939814813</v>
      </c>
      <c r="D221" s="4" t="s">
        <v>45</v>
      </c>
      <c r="E221" s="4"/>
      <c r="F221" s="1"/>
      <c r="G221" s="4" t="s">
        <v>100</v>
      </c>
      <c r="H221" s="4" t="s">
        <v>91</v>
      </c>
      <c r="I221" s="4" t="s">
        <v>113</v>
      </c>
      <c r="J221" s="4" t="s">
        <v>49</v>
      </c>
      <c r="K221" s="4" t="s">
        <v>319</v>
      </c>
      <c r="L221" s="4" t="s">
        <v>73</v>
      </c>
      <c r="M221" s="4" t="s">
        <v>73</v>
      </c>
      <c r="N221" s="4" t="s">
        <v>52</v>
      </c>
      <c r="O221" s="4" t="s">
        <v>53</v>
      </c>
      <c r="P221" s="4" t="s">
        <v>74</v>
      </c>
      <c r="Q221" s="4" t="s">
        <v>75</v>
      </c>
      <c r="R221" s="4" t="s">
        <v>76</v>
      </c>
      <c r="S221" s="4" t="s">
        <v>77</v>
      </c>
      <c r="T221" s="4" t="s">
        <v>78</v>
      </c>
      <c r="U221" s="4" t="s">
        <v>59</v>
      </c>
      <c r="V221" s="4" t="s">
        <v>79</v>
      </c>
      <c r="W221" s="4" t="s">
        <v>59</v>
      </c>
      <c r="X221" s="4" t="s">
        <v>59</v>
      </c>
      <c r="Y221" s="4" t="s">
        <v>59</v>
      </c>
      <c r="Z221" s="4" t="s">
        <v>59</v>
      </c>
      <c r="AA221" s="4" t="s">
        <v>79</v>
      </c>
      <c r="AB221" s="4" t="s">
        <v>79</v>
      </c>
      <c r="AC221" s="4" t="s">
        <v>79</v>
      </c>
      <c r="AD221" s="4" t="s">
        <v>60</v>
      </c>
      <c r="AE221" s="4" t="s">
        <v>61</v>
      </c>
      <c r="AF221" s="4" t="s">
        <v>62</v>
      </c>
      <c r="AG221" s="4" t="s">
        <v>63</v>
      </c>
      <c r="AH221" s="4" t="s">
        <v>63</v>
      </c>
      <c r="AI221" s="4" t="s">
        <v>63</v>
      </c>
      <c r="AJ221" s="4" t="s">
        <v>65</v>
      </c>
      <c r="AK221" s="4" t="s">
        <v>63</v>
      </c>
      <c r="AL221" s="4" t="s">
        <v>120</v>
      </c>
      <c r="AM221" s="4" t="s">
        <v>67</v>
      </c>
      <c r="AN221" s="4" t="s">
        <v>68</v>
      </c>
      <c r="AO221" s="4" t="s">
        <v>81</v>
      </c>
      <c r="AP221" s="4" t="s">
        <v>107</v>
      </c>
      <c r="AQ221" s="4" t="s">
        <v>81</v>
      </c>
      <c r="AR221" s="25">
        <v>9</v>
      </c>
      <c r="AS221" s="4"/>
    </row>
    <row r="222" spans="1:45" x14ac:dyDescent="0.3">
      <c r="A222">
        <v>221</v>
      </c>
      <c r="B222" s="24">
        <v>46252.815150462964</v>
      </c>
      <c r="C222" s="24">
        <v>46252.818472222221</v>
      </c>
      <c r="D222" s="4" t="s">
        <v>45</v>
      </c>
      <c r="E222" s="4"/>
      <c r="F222" s="1"/>
      <c r="G222" s="4" t="s">
        <v>46</v>
      </c>
      <c r="H222" s="4" t="s">
        <v>112</v>
      </c>
      <c r="I222" s="4" t="s">
        <v>101</v>
      </c>
      <c r="J222" s="4" t="s">
        <v>104</v>
      </c>
      <c r="K222" s="4" t="s">
        <v>433</v>
      </c>
      <c r="L222" s="4" t="s">
        <v>146</v>
      </c>
      <c r="M222" s="4" t="s">
        <v>146</v>
      </c>
      <c r="N222" s="4" t="s">
        <v>52</v>
      </c>
      <c r="O222" s="4" t="s">
        <v>53</v>
      </c>
      <c r="P222" s="4" t="s">
        <v>74</v>
      </c>
      <c r="Q222" s="4" t="s">
        <v>331</v>
      </c>
      <c r="R222" s="4" t="s">
        <v>76</v>
      </c>
      <c r="S222" s="4" t="s">
        <v>106</v>
      </c>
      <c r="T222" s="4" t="s">
        <v>78</v>
      </c>
      <c r="U222" s="4" t="s">
        <v>59</v>
      </c>
      <c r="V222" s="4" t="s">
        <v>59</v>
      </c>
      <c r="W222" s="4" t="s">
        <v>59</v>
      </c>
      <c r="X222" s="4" t="s">
        <v>59</v>
      </c>
      <c r="Y222" s="4" t="s">
        <v>59</v>
      </c>
      <c r="Z222" s="4" t="s">
        <v>59</v>
      </c>
      <c r="AA222" s="4" t="s">
        <v>59</v>
      </c>
      <c r="AB222" s="4" t="s">
        <v>59</v>
      </c>
      <c r="AC222" s="4" t="s">
        <v>59</v>
      </c>
      <c r="AD222" s="4" t="s">
        <v>98</v>
      </c>
      <c r="AE222" s="4" t="s">
        <v>61</v>
      </c>
      <c r="AF222" s="4" t="s">
        <v>62</v>
      </c>
      <c r="AG222" s="4" t="s">
        <v>63</v>
      </c>
      <c r="AH222" s="4" t="s">
        <v>63</v>
      </c>
      <c r="AI222" s="4" t="s">
        <v>81</v>
      </c>
      <c r="AJ222" s="4" t="s">
        <v>82</v>
      </c>
      <c r="AK222" s="4" t="s">
        <v>81</v>
      </c>
      <c r="AL222" s="4" t="s">
        <v>66</v>
      </c>
      <c r="AM222" s="4" t="s">
        <v>137</v>
      </c>
      <c r="AN222" s="4" t="s">
        <v>89</v>
      </c>
      <c r="AO222" s="4" t="s">
        <v>81</v>
      </c>
      <c r="AP222" s="4" t="s">
        <v>107</v>
      </c>
      <c r="AQ222" s="4" t="s">
        <v>81</v>
      </c>
      <c r="AR222" s="25">
        <v>4</v>
      </c>
      <c r="AS222" s="4"/>
    </row>
    <row r="223" spans="1:45" x14ac:dyDescent="0.3">
      <c r="A223">
        <v>222</v>
      </c>
      <c r="B223" s="24">
        <v>46252.818171296298</v>
      </c>
      <c r="C223" s="24">
        <v>46252.819548611114</v>
      </c>
      <c r="D223" s="4" t="s">
        <v>45</v>
      </c>
      <c r="E223" s="4"/>
      <c r="F223" s="1"/>
      <c r="G223" s="4" t="s">
        <v>46</v>
      </c>
      <c r="H223" s="4" t="s">
        <v>91</v>
      </c>
      <c r="I223" s="4" t="s">
        <v>113</v>
      </c>
      <c r="J223" s="4" t="s">
        <v>125</v>
      </c>
      <c r="K223" s="4" t="s">
        <v>434</v>
      </c>
      <c r="L223" s="4" t="s">
        <v>73</v>
      </c>
      <c r="M223" s="4" t="s">
        <v>73</v>
      </c>
      <c r="N223" s="4" t="s">
        <v>116</v>
      </c>
      <c r="O223" s="4" t="s">
        <v>53</v>
      </c>
      <c r="P223" s="4" t="s">
        <v>54</v>
      </c>
      <c r="Q223" s="4" t="s">
        <v>55</v>
      </c>
      <c r="R223" s="4" t="s">
        <v>76</v>
      </c>
      <c r="S223" s="4" t="s">
        <v>77</v>
      </c>
      <c r="T223" s="4" t="s">
        <v>58</v>
      </c>
      <c r="U223" s="4" t="s">
        <v>59</v>
      </c>
      <c r="V223" s="4" t="s">
        <v>59</v>
      </c>
      <c r="W223" s="4" t="s">
        <v>59</v>
      </c>
      <c r="X223" s="4" t="s">
        <v>59</v>
      </c>
      <c r="Y223" s="4" t="s">
        <v>59</v>
      </c>
      <c r="Z223" s="4" t="s">
        <v>59</v>
      </c>
      <c r="AA223" s="4" t="s">
        <v>59</v>
      </c>
      <c r="AB223" s="4" t="s">
        <v>59</v>
      </c>
      <c r="AC223" s="4" t="s">
        <v>59</v>
      </c>
      <c r="AD223" s="4" t="s">
        <v>60</v>
      </c>
      <c r="AE223" s="4" t="s">
        <v>94</v>
      </c>
      <c r="AF223" s="4" t="s">
        <v>119</v>
      </c>
      <c r="AG223" s="4" t="s">
        <v>64</v>
      </c>
      <c r="AH223" s="4" t="s">
        <v>64</v>
      </c>
      <c r="AI223" s="4" t="s">
        <v>64</v>
      </c>
      <c r="AJ223" s="4" t="s">
        <v>65</v>
      </c>
      <c r="AK223" s="4" t="s">
        <v>64</v>
      </c>
      <c r="AL223" s="4" t="s">
        <v>120</v>
      </c>
      <c r="AM223" s="4" t="s">
        <v>67</v>
      </c>
      <c r="AN223" s="4" t="s">
        <v>175</v>
      </c>
      <c r="AO223" s="4" t="s">
        <v>137</v>
      </c>
      <c r="AP223" s="4" t="s">
        <v>69</v>
      </c>
      <c r="AQ223" s="4" t="s">
        <v>63</v>
      </c>
      <c r="AR223" s="25">
        <v>10</v>
      </c>
      <c r="AS223" s="4"/>
    </row>
    <row r="224" spans="1:45" x14ac:dyDescent="0.3">
      <c r="A224">
        <v>223</v>
      </c>
      <c r="B224" s="24">
        <v>46252.818495370368</v>
      </c>
      <c r="C224" s="24">
        <v>46252.819664351853</v>
      </c>
      <c r="D224" s="4" t="s">
        <v>45</v>
      </c>
      <c r="E224" s="4"/>
      <c r="F224" s="1"/>
      <c r="G224" s="4" t="s">
        <v>46</v>
      </c>
      <c r="H224" s="4" t="s">
        <v>91</v>
      </c>
      <c r="I224" s="4" t="s">
        <v>84</v>
      </c>
      <c r="J224" s="4" t="s">
        <v>140</v>
      </c>
      <c r="K224" s="4" t="s">
        <v>149</v>
      </c>
      <c r="L224" s="4" t="s">
        <v>73</v>
      </c>
      <c r="M224" s="4" t="s">
        <v>73</v>
      </c>
      <c r="N224" s="4" t="s">
        <v>52</v>
      </c>
      <c r="O224" s="4" t="s">
        <v>228</v>
      </c>
      <c r="P224" s="4" t="s">
        <v>74</v>
      </c>
      <c r="Q224" s="4" t="s">
        <v>75</v>
      </c>
      <c r="R224" s="4" t="s">
        <v>76</v>
      </c>
      <c r="S224" s="4" t="s">
        <v>77</v>
      </c>
      <c r="T224" s="4" t="s">
        <v>58</v>
      </c>
      <c r="U224" s="4" t="s">
        <v>79</v>
      </c>
      <c r="V224" s="4" t="s">
        <v>79</v>
      </c>
      <c r="W224" s="4" t="s">
        <v>79</v>
      </c>
      <c r="X224" s="4" t="s">
        <v>79</v>
      </c>
      <c r="Y224" s="4" t="s">
        <v>79</v>
      </c>
      <c r="Z224" s="4" t="s">
        <v>79</v>
      </c>
      <c r="AA224" s="4" t="s">
        <v>79</v>
      </c>
      <c r="AB224" s="4" t="s">
        <v>79</v>
      </c>
      <c r="AC224" s="4" t="s">
        <v>79</v>
      </c>
      <c r="AD224" s="4" t="s">
        <v>60</v>
      </c>
      <c r="AE224" s="4" t="s">
        <v>94</v>
      </c>
      <c r="AF224" s="4" t="s">
        <v>119</v>
      </c>
      <c r="AG224" s="4" t="s">
        <v>64</v>
      </c>
      <c r="AH224" s="4" t="s">
        <v>64</v>
      </c>
      <c r="AI224" s="4" t="s">
        <v>63</v>
      </c>
      <c r="AJ224" s="4" t="s">
        <v>65</v>
      </c>
      <c r="AK224" s="4" t="s">
        <v>63</v>
      </c>
      <c r="AL224" s="4" t="s">
        <v>102</v>
      </c>
      <c r="AM224" s="4" t="s">
        <v>67</v>
      </c>
      <c r="AN224" s="4" t="s">
        <v>89</v>
      </c>
      <c r="AO224" s="4" t="s">
        <v>63</v>
      </c>
      <c r="AP224" s="4" t="s">
        <v>110</v>
      </c>
      <c r="AQ224" s="4" t="s">
        <v>63</v>
      </c>
      <c r="AR224" s="25">
        <v>8</v>
      </c>
      <c r="AS224" s="4"/>
    </row>
    <row r="225" spans="1:45" x14ac:dyDescent="0.3">
      <c r="A225">
        <v>224</v>
      </c>
      <c r="B225" s="24">
        <v>46252.817152777781</v>
      </c>
      <c r="C225" s="24">
        <v>46252.821342592593</v>
      </c>
      <c r="D225" s="4" t="s">
        <v>45</v>
      </c>
      <c r="E225" s="4"/>
      <c r="F225" s="1"/>
      <c r="G225" s="4" t="s">
        <v>100</v>
      </c>
      <c r="H225" s="4" t="s">
        <v>91</v>
      </c>
      <c r="I225" s="4" t="s">
        <v>48</v>
      </c>
      <c r="J225" s="4" t="s">
        <v>49</v>
      </c>
      <c r="K225" s="4" t="s">
        <v>109</v>
      </c>
      <c r="L225" s="4" t="s">
        <v>73</v>
      </c>
      <c r="M225" s="4" t="s">
        <v>73</v>
      </c>
      <c r="N225" s="4" t="s">
        <v>52</v>
      </c>
      <c r="O225" s="4" t="s">
        <v>53</v>
      </c>
      <c r="P225" s="4" t="s">
        <v>74</v>
      </c>
      <c r="Q225" s="4" t="s">
        <v>75</v>
      </c>
      <c r="R225" s="4" t="s">
        <v>76</v>
      </c>
      <c r="S225" s="4" t="s">
        <v>77</v>
      </c>
      <c r="T225" s="4" t="s">
        <v>58</v>
      </c>
      <c r="U225" s="4" t="s">
        <v>87</v>
      </c>
      <c r="V225" s="4" t="s">
        <v>79</v>
      </c>
      <c r="W225" s="4" t="s">
        <v>59</v>
      </c>
      <c r="X225" s="4" t="s">
        <v>79</v>
      </c>
      <c r="Y225" s="4" t="s">
        <v>59</v>
      </c>
      <c r="Z225" s="4" t="s">
        <v>87</v>
      </c>
      <c r="AA225" s="4" t="s">
        <v>59</v>
      </c>
      <c r="AB225" s="4" t="s">
        <v>59</v>
      </c>
      <c r="AC225" s="4" t="s">
        <v>59</v>
      </c>
      <c r="AD225" s="4" t="s">
        <v>80</v>
      </c>
      <c r="AE225" s="4" t="s">
        <v>61</v>
      </c>
      <c r="AF225" s="4" t="s">
        <v>62</v>
      </c>
      <c r="AG225" s="4" t="s">
        <v>63</v>
      </c>
      <c r="AH225" s="4" t="s">
        <v>63</v>
      </c>
      <c r="AI225" s="4" t="s">
        <v>63</v>
      </c>
      <c r="AJ225" s="4" t="s">
        <v>82</v>
      </c>
      <c r="AK225" s="4" t="s">
        <v>63</v>
      </c>
      <c r="AL225" s="4" t="s">
        <v>66</v>
      </c>
      <c r="AM225" s="4" t="s">
        <v>67</v>
      </c>
      <c r="AN225" s="4" t="s">
        <v>68</v>
      </c>
      <c r="AO225" s="4" t="s">
        <v>63</v>
      </c>
      <c r="AP225" s="4" t="s">
        <v>98</v>
      </c>
      <c r="AQ225" s="4" t="s">
        <v>63</v>
      </c>
      <c r="AR225" s="25">
        <v>9</v>
      </c>
      <c r="AS225" s="4"/>
    </row>
    <row r="226" spans="1:45" x14ac:dyDescent="0.3">
      <c r="A226">
        <v>225</v>
      </c>
      <c r="B226" s="24">
        <v>46252.81958333333</v>
      </c>
      <c r="C226" s="24">
        <v>46252.821689814817</v>
      </c>
      <c r="D226" s="4" t="s">
        <v>45</v>
      </c>
      <c r="E226" s="4"/>
      <c r="F226" s="1"/>
      <c r="G226" s="4" t="s">
        <v>100</v>
      </c>
      <c r="H226" s="4" t="s">
        <v>318</v>
      </c>
      <c r="I226" s="4" t="s">
        <v>48</v>
      </c>
      <c r="J226" s="4" t="s">
        <v>49</v>
      </c>
      <c r="K226" s="4" t="s">
        <v>435</v>
      </c>
      <c r="L226" s="4" t="s">
        <v>73</v>
      </c>
      <c r="M226" s="4" t="s">
        <v>73</v>
      </c>
      <c r="N226" s="4" t="s">
        <v>52</v>
      </c>
      <c r="O226" s="4" t="s">
        <v>228</v>
      </c>
      <c r="P226" s="4" t="s">
        <v>74</v>
      </c>
      <c r="Q226" s="4" t="s">
        <v>75</v>
      </c>
      <c r="R226" s="4" t="s">
        <v>76</v>
      </c>
      <c r="S226" s="4" t="s">
        <v>77</v>
      </c>
      <c r="T226" s="4" t="s">
        <v>58</v>
      </c>
      <c r="U226" s="4" t="s">
        <v>59</v>
      </c>
      <c r="V226" s="4" t="s">
        <v>79</v>
      </c>
      <c r="W226" s="4" t="s">
        <v>59</v>
      </c>
      <c r="X226" s="4" t="s">
        <v>79</v>
      </c>
      <c r="Y226" s="4" t="s">
        <v>59</v>
      </c>
      <c r="Z226" s="4" t="s">
        <v>79</v>
      </c>
      <c r="AA226" s="4" t="s">
        <v>79</v>
      </c>
      <c r="AB226" s="4" t="s">
        <v>79</v>
      </c>
      <c r="AC226" s="4" t="s">
        <v>79</v>
      </c>
      <c r="AD226" s="4" t="s">
        <v>80</v>
      </c>
      <c r="AE226" s="4" t="s">
        <v>61</v>
      </c>
      <c r="AF226" s="4" t="s">
        <v>62</v>
      </c>
      <c r="AG226" s="4" t="s">
        <v>81</v>
      </c>
      <c r="AH226" s="4" t="s">
        <v>137</v>
      </c>
      <c r="AI226" s="4" t="s">
        <v>81</v>
      </c>
      <c r="AJ226" s="4" t="s">
        <v>65</v>
      </c>
      <c r="AK226" s="4" t="s">
        <v>81</v>
      </c>
      <c r="AL226" s="4" t="s">
        <v>66</v>
      </c>
      <c r="AM226" s="4" t="s">
        <v>436</v>
      </c>
      <c r="AN226" s="4" t="s">
        <v>68</v>
      </c>
      <c r="AO226" s="4" t="s">
        <v>81</v>
      </c>
      <c r="AP226" s="4" t="s">
        <v>98</v>
      </c>
      <c r="AQ226" s="4" t="s">
        <v>81</v>
      </c>
      <c r="AR226" s="25">
        <v>8</v>
      </c>
      <c r="AS226" s="4"/>
    </row>
    <row r="227" spans="1:45" x14ac:dyDescent="0.3">
      <c r="A227">
        <v>226</v>
      </c>
      <c r="B227" s="24">
        <v>46252.819722222222</v>
      </c>
      <c r="C227" s="24">
        <v>46252.823993055557</v>
      </c>
      <c r="D227" s="4" t="s">
        <v>45</v>
      </c>
      <c r="E227" s="4"/>
      <c r="F227" s="1"/>
      <c r="G227" s="4" t="s">
        <v>100</v>
      </c>
      <c r="H227" s="4" t="s">
        <v>47</v>
      </c>
      <c r="I227" s="4" t="s">
        <v>133</v>
      </c>
      <c r="J227" s="4" t="s">
        <v>162</v>
      </c>
      <c r="K227" s="4" t="s">
        <v>433</v>
      </c>
      <c r="L227" s="4" t="s">
        <v>146</v>
      </c>
      <c r="M227" s="4" t="s">
        <v>146</v>
      </c>
      <c r="N227" s="4" t="s">
        <v>52</v>
      </c>
      <c r="O227" s="4" t="s">
        <v>228</v>
      </c>
      <c r="P227" s="4" t="s">
        <v>74</v>
      </c>
      <c r="Q227" s="4" t="s">
        <v>75</v>
      </c>
      <c r="R227" s="4" t="s">
        <v>76</v>
      </c>
      <c r="S227" s="4" t="s">
        <v>77</v>
      </c>
      <c r="T227" s="4" t="s">
        <v>78</v>
      </c>
      <c r="U227" s="4" t="s">
        <v>59</v>
      </c>
      <c r="V227" s="4" t="s">
        <v>79</v>
      </c>
      <c r="W227" s="4" t="s">
        <v>79</v>
      </c>
      <c r="X227" s="4" t="s">
        <v>59</v>
      </c>
      <c r="Y227" s="4" t="s">
        <v>59</v>
      </c>
      <c r="Z227" s="4" t="s">
        <v>79</v>
      </c>
      <c r="AA227" s="4" t="s">
        <v>59</v>
      </c>
      <c r="AB227" s="4" t="s">
        <v>79</v>
      </c>
      <c r="AC227" s="4" t="s">
        <v>79</v>
      </c>
      <c r="AD227" s="4" t="s">
        <v>80</v>
      </c>
      <c r="AE227" s="4" t="s">
        <v>61</v>
      </c>
      <c r="AF227" s="4" t="s">
        <v>62</v>
      </c>
      <c r="AG227" s="4" t="s">
        <v>63</v>
      </c>
      <c r="AH227" s="4" t="s">
        <v>63</v>
      </c>
      <c r="AI227" s="4" t="s">
        <v>64</v>
      </c>
      <c r="AJ227" s="4" t="s">
        <v>65</v>
      </c>
      <c r="AK227" s="4" t="s">
        <v>64</v>
      </c>
      <c r="AL227" s="4" t="s">
        <v>120</v>
      </c>
      <c r="AM227" s="4" t="s">
        <v>67</v>
      </c>
      <c r="AN227" s="4" t="s">
        <v>89</v>
      </c>
      <c r="AO227" s="4" t="s">
        <v>63</v>
      </c>
      <c r="AP227" s="4" t="s">
        <v>98</v>
      </c>
      <c r="AQ227" s="4" t="s">
        <v>63</v>
      </c>
      <c r="AR227" s="25">
        <v>7</v>
      </c>
      <c r="AS227" s="4"/>
    </row>
    <row r="228" spans="1:45" x14ac:dyDescent="0.3">
      <c r="A228">
        <v>227</v>
      </c>
      <c r="B228" s="24">
        <v>46252.812199074076</v>
      </c>
      <c r="C228" s="24">
        <v>46252.83090277778</v>
      </c>
      <c r="D228" s="4" t="s">
        <v>45</v>
      </c>
      <c r="E228" s="4"/>
      <c r="F228" s="1"/>
      <c r="G228" s="4" t="s">
        <v>46</v>
      </c>
      <c r="H228" s="4" t="s">
        <v>91</v>
      </c>
      <c r="I228" s="4" t="s">
        <v>101</v>
      </c>
      <c r="J228" s="4" t="s">
        <v>49</v>
      </c>
      <c r="K228" s="4" t="s">
        <v>437</v>
      </c>
      <c r="L228" s="4" t="s">
        <v>73</v>
      </c>
      <c r="M228" s="4" t="s">
        <v>73</v>
      </c>
      <c r="N228" s="4" t="s">
        <v>52</v>
      </c>
      <c r="O228" s="4" t="s">
        <v>53</v>
      </c>
      <c r="P228" s="4" t="s">
        <v>74</v>
      </c>
      <c r="Q228" s="4" t="s">
        <v>75</v>
      </c>
      <c r="R228" s="4" t="s">
        <v>76</v>
      </c>
      <c r="S228" s="4" t="s">
        <v>77</v>
      </c>
      <c r="T228" s="4" t="s">
        <v>58</v>
      </c>
      <c r="U228" s="4" t="s">
        <v>59</v>
      </c>
      <c r="V228" s="4" t="s">
        <v>59</v>
      </c>
      <c r="W228" s="4" t="s">
        <v>59</v>
      </c>
      <c r="X228" s="4" t="s">
        <v>59</v>
      </c>
      <c r="Y228" s="4" t="s">
        <v>59</v>
      </c>
      <c r="Z228" s="4" t="s">
        <v>79</v>
      </c>
      <c r="AA228" s="4" t="s">
        <v>59</v>
      </c>
      <c r="AB228" s="4" t="s">
        <v>59</v>
      </c>
      <c r="AC228" s="4" t="s">
        <v>59</v>
      </c>
      <c r="AD228" s="4" t="s">
        <v>60</v>
      </c>
      <c r="AE228" s="4" t="s">
        <v>88</v>
      </c>
      <c r="AF228" s="4" t="s">
        <v>62</v>
      </c>
      <c r="AG228" s="4" t="s">
        <v>63</v>
      </c>
      <c r="AH228" s="4" t="s">
        <v>63</v>
      </c>
      <c r="AI228" s="4" t="s">
        <v>63</v>
      </c>
      <c r="AJ228" s="4" t="s">
        <v>65</v>
      </c>
      <c r="AK228" s="4" t="s">
        <v>63</v>
      </c>
      <c r="AL228" s="4" t="s">
        <v>120</v>
      </c>
      <c r="AM228" s="4" t="s">
        <v>67</v>
      </c>
      <c r="AN228" s="4" t="s">
        <v>89</v>
      </c>
      <c r="AO228" s="4" t="s">
        <v>63</v>
      </c>
      <c r="AP228" s="4" t="s">
        <v>107</v>
      </c>
      <c r="AQ228" s="4" t="s">
        <v>63</v>
      </c>
      <c r="AR228" s="25">
        <v>7</v>
      </c>
      <c r="AS228" s="4" t="s">
        <v>438</v>
      </c>
    </row>
    <row r="229" spans="1:45" x14ac:dyDescent="0.3">
      <c r="A229">
        <v>228</v>
      </c>
      <c r="B229" s="24">
        <v>46252.831238425926</v>
      </c>
      <c r="C229" s="24">
        <v>46252.842013888891</v>
      </c>
      <c r="D229" s="4" t="s">
        <v>45</v>
      </c>
      <c r="E229" s="4"/>
      <c r="F229" s="1"/>
      <c r="G229" s="4" t="s">
        <v>46</v>
      </c>
      <c r="H229" s="4" t="s">
        <v>47</v>
      </c>
      <c r="I229" s="4" t="s">
        <v>101</v>
      </c>
      <c r="J229" s="4" t="s">
        <v>104</v>
      </c>
      <c r="K229" s="4" t="s">
        <v>439</v>
      </c>
      <c r="L229" s="4" t="s">
        <v>73</v>
      </c>
      <c r="M229" s="4" t="s">
        <v>73</v>
      </c>
      <c r="N229" s="4" t="s">
        <v>199</v>
      </c>
      <c r="O229" s="4" t="s">
        <v>53</v>
      </c>
      <c r="P229" s="4" t="s">
        <v>74</v>
      </c>
      <c r="Q229" s="4" t="s">
        <v>75</v>
      </c>
      <c r="R229" s="4" t="s">
        <v>56</v>
      </c>
      <c r="S229" s="4" t="s">
        <v>57</v>
      </c>
      <c r="T229" s="4" t="s">
        <v>58</v>
      </c>
      <c r="U229" s="4" t="s">
        <v>59</v>
      </c>
      <c r="V229" s="4" t="s">
        <v>59</v>
      </c>
      <c r="W229" s="4" t="s">
        <v>59</v>
      </c>
      <c r="X229" s="4" t="s">
        <v>59</v>
      </c>
      <c r="Y229" s="4" t="s">
        <v>59</v>
      </c>
      <c r="Z229" s="4" t="s">
        <v>79</v>
      </c>
      <c r="AA229" s="4" t="s">
        <v>59</v>
      </c>
      <c r="AB229" s="4" t="s">
        <v>59</v>
      </c>
      <c r="AC229" s="4" t="s">
        <v>59</v>
      </c>
      <c r="AD229" s="4" t="s">
        <v>60</v>
      </c>
      <c r="AE229" s="4" t="s">
        <v>88</v>
      </c>
      <c r="AF229" s="4" t="s">
        <v>147</v>
      </c>
      <c r="AG229" s="4" t="s">
        <v>63</v>
      </c>
      <c r="AH229" s="4" t="s">
        <v>63</v>
      </c>
      <c r="AI229" s="4" t="s">
        <v>63</v>
      </c>
      <c r="AJ229" s="4" t="s">
        <v>65</v>
      </c>
      <c r="AK229" s="4" t="s">
        <v>63</v>
      </c>
      <c r="AL229" s="4" t="s">
        <v>120</v>
      </c>
      <c r="AM229" s="4" t="s">
        <v>67</v>
      </c>
      <c r="AN229" s="4" t="s">
        <v>89</v>
      </c>
      <c r="AO229" s="4" t="s">
        <v>63</v>
      </c>
      <c r="AP229" s="4" t="s">
        <v>107</v>
      </c>
      <c r="AQ229" s="4" t="s">
        <v>63</v>
      </c>
      <c r="AR229" s="25">
        <v>8</v>
      </c>
      <c r="AS229" s="4" t="s">
        <v>440</v>
      </c>
    </row>
    <row r="230" spans="1:45" x14ac:dyDescent="0.3">
      <c r="A230">
        <v>229</v>
      </c>
      <c r="B230" s="24">
        <v>46252.8746875</v>
      </c>
      <c r="C230" s="24">
        <v>46252.875983796293</v>
      </c>
      <c r="D230" s="4" t="s">
        <v>45</v>
      </c>
      <c r="E230" s="4"/>
      <c r="F230" s="1"/>
      <c r="G230" s="4" t="s">
        <v>100</v>
      </c>
      <c r="H230" s="4" t="s">
        <v>47</v>
      </c>
      <c r="I230" s="4" t="s">
        <v>84</v>
      </c>
      <c r="J230" s="4" t="s">
        <v>162</v>
      </c>
      <c r="K230" s="4" t="s">
        <v>441</v>
      </c>
      <c r="L230" s="4" t="s">
        <v>73</v>
      </c>
      <c r="M230" s="4" t="s">
        <v>73</v>
      </c>
      <c r="N230" s="4" t="s">
        <v>52</v>
      </c>
      <c r="O230" s="4" t="s">
        <v>53</v>
      </c>
      <c r="P230" s="4" t="s">
        <v>54</v>
      </c>
      <c r="Q230" s="4" t="s">
        <v>75</v>
      </c>
      <c r="R230" s="4" t="s">
        <v>76</v>
      </c>
      <c r="S230" s="4" t="s">
        <v>77</v>
      </c>
      <c r="T230" s="4" t="s">
        <v>93</v>
      </c>
      <c r="U230" s="4" t="s">
        <v>79</v>
      </c>
      <c r="V230" s="4" t="s">
        <v>59</v>
      </c>
      <c r="W230" s="4" t="s">
        <v>59</v>
      </c>
      <c r="X230" s="4" t="s">
        <v>79</v>
      </c>
      <c r="Y230" s="4" t="s">
        <v>79</v>
      </c>
      <c r="Z230" s="4" t="s">
        <v>59</v>
      </c>
      <c r="AA230" s="4" t="s">
        <v>59</v>
      </c>
      <c r="AB230" s="4" t="s">
        <v>79</v>
      </c>
      <c r="AC230" s="4" t="s">
        <v>79</v>
      </c>
      <c r="AD230" s="4" t="s">
        <v>80</v>
      </c>
      <c r="AE230" s="4" t="s">
        <v>61</v>
      </c>
      <c r="AF230" s="4" t="s">
        <v>62</v>
      </c>
      <c r="AG230" s="4" t="s">
        <v>63</v>
      </c>
      <c r="AH230" s="4" t="s">
        <v>63</v>
      </c>
      <c r="AI230" s="4" t="s">
        <v>81</v>
      </c>
      <c r="AJ230" s="4" t="s">
        <v>82</v>
      </c>
      <c r="AK230" s="4" t="s">
        <v>81</v>
      </c>
      <c r="AL230" s="4" t="s">
        <v>66</v>
      </c>
      <c r="AM230" s="4" t="s">
        <v>67</v>
      </c>
      <c r="AN230" s="4" t="s">
        <v>68</v>
      </c>
      <c r="AO230" s="4" t="s">
        <v>81</v>
      </c>
      <c r="AP230" s="4" t="s">
        <v>98</v>
      </c>
      <c r="AQ230" s="4" t="s">
        <v>81</v>
      </c>
      <c r="AR230" s="25">
        <v>9</v>
      </c>
      <c r="AS230" s="4"/>
    </row>
    <row r="231" spans="1:45" x14ac:dyDescent="0.3">
      <c r="A231">
        <v>230</v>
      </c>
      <c r="B231" s="24">
        <v>46252.876840277779</v>
      </c>
      <c r="C231" s="24">
        <v>46252.878657407404</v>
      </c>
      <c r="D231" s="4" t="s">
        <v>45</v>
      </c>
      <c r="E231" s="4"/>
      <c r="F231" s="1"/>
      <c r="G231" s="4" t="s">
        <v>46</v>
      </c>
      <c r="H231" s="4" t="s">
        <v>47</v>
      </c>
      <c r="I231" s="4" t="s">
        <v>48</v>
      </c>
      <c r="J231" s="4" t="s">
        <v>71</v>
      </c>
      <c r="K231" s="4" t="s">
        <v>442</v>
      </c>
      <c r="L231" s="4" t="s">
        <v>51</v>
      </c>
      <c r="M231" s="4" t="s">
        <v>51</v>
      </c>
      <c r="N231" s="4" t="s">
        <v>52</v>
      </c>
      <c r="O231" s="4" t="s">
        <v>53</v>
      </c>
      <c r="P231" s="4" t="s">
        <v>74</v>
      </c>
      <c r="Q231" s="4" t="s">
        <v>55</v>
      </c>
      <c r="R231" s="4" t="s">
        <v>76</v>
      </c>
      <c r="S231" s="4" t="s">
        <v>57</v>
      </c>
      <c r="T231" s="4" t="s">
        <v>58</v>
      </c>
      <c r="U231" s="4" t="s">
        <v>59</v>
      </c>
      <c r="V231" s="4" t="s">
        <v>79</v>
      </c>
      <c r="W231" s="4" t="s">
        <v>59</v>
      </c>
      <c r="X231" s="4" t="s">
        <v>59</v>
      </c>
      <c r="Y231" s="4" t="s">
        <v>79</v>
      </c>
      <c r="Z231" s="4" t="s">
        <v>79</v>
      </c>
      <c r="AA231" s="4" t="s">
        <v>79</v>
      </c>
      <c r="AB231" s="4" t="s">
        <v>59</v>
      </c>
      <c r="AC231" s="4" t="s">
        <v>59</v>
      </c>
      <c r="AD231" s="4" t="s">
        <v>187</v>
      </c>
      <c r="AE231" s="4" t="s">
        <v>94</v>
      </c>
      <c r="AF231" s="4" t="s">
        <v>62</v>
      </c>
      <c r="AG231" s="4" t="s">
        <v>64</v>
      </c>
      <c r="AH231" s="4" t="s">
        <v>63</v>
      </c>
      <c r="AI231" s="4" t="s">
        <v>63</v>
      </c>
      <c r="AJ231" s="4" t="s">
        <v>65</v>
      </c>
      <c r="AK231" s="4" t="s">
        <v>63</v>
      </c>
      <c r="AL231" s="4" t="s">
        <v>102</v>
      </c>
      <c r="AM231" s="4" t="s">
        <v>67</v>
      </c>
      <c r="AN231" s="4" t="s">
        <v>68</v>
      </c>
      <c r="AO231" s="4" t="s">
        <v>63</v>
      </c>
      <c r="AP231" s="4" t="s">
        <v>110</v>
      </c>
      <c r="AQ231" s="4" t="s">
        <v>64</v>
      </c>
      <c r="AR231" s="25">
        <v>8</v>
      </c>
      <c r="AS231" s="4"/>
    </row>
    <row r="232" spans="1:45" x14ac:dyDescent="0.3">
      <c r="A232">
        <v>231</v>
      </c>
      <c r="B232" s="24">
        <v>46252.881469907406</v>
      </c>
      <c r="C232" s="24">
        <v>46252.884085648147</v>
      </c>
      <c r="D232" s="4" t="s">
        <v>45</v>
      </c>
      <c r="E232" s="4"/>
      <c r="F232" s="1"/>
      <c r="G232" s="4" t="s">
        <v>46</v>
      </c>
      <c r="H232" s="4" t="s">
        <v>318</v>
      </c>
      <c r="I232" s="4" t="s">
        <v>101</v>
      </c>
      <c r="J232" s="4" t="s">
        <v>49</v>
      </c>
      <c r="K232" s="4" t="s">
        <v>443</v>
      </c>
      <c r="L232" s="4" t="s">
        <v>73</v>
      </c>
      <c r="M232" s="4" t="s">
        <v>73</v>
      </c>
      <c r="N232" s="4" t="s">
        <v>52</v>
      </c>
      <c r="O232" s="4" t="s">
        <v>228</v>
      </c>
      <c r="P232" s="4" t="s">
        <v>74</v>
      </c>
      <c r="Q232" s="4" t="s">
        <v>219</v>
      </c>
      <c r="R232" s="4" t="s">
        <v>56</v>
      </c>
      <c r="S232" s="4" t="s">
        <v>77</v>
      </c>
      <c r="T232" s="4" t="s">
        <v>93</v>
      </c>
      <c r="U232" s="4" t="s">
        <v>59</v>
      </c>
      <c r="V232" s="4" t="s">
        <v>59</v>
      </c>
      <c r="W232" s="4" t="s">
        <v>59</v>
      </c>
      <c r="X232" s="4" t="s">
        <v>86</v>
      </c>
      <c r="Y232" s="4" t="s">
        <v>59</v>
      </c>
      <c r="Z232" s="4" t="s">
        <v>59</v>
      </c>
      <c r="AA232" s="4" t="s">
        <v>59</v>
      </c>
      <c r="AB232" s="4" t="s">
        <v>59</v>
      </c>
      <c r="AC232" s="4" t="s">
        <v>59</v>
      </c>
      <c r="AD232" s="4" t="s">
        <v>80</v>
      </c>
      <c r="AE232" s="4" t="s">
        <v>94</v>
      </c>
      <c r="AF232" s="4" t="s">
        <v>62</v>
      </c>
      <c r="AG232" s="4" t="s">
        <v>64</v>
      </c>
      <c r="AH232" s="4" t="s">
        <v>63</v>
      </c>
      <c r="AI232" s="4" t="s">
        <v>63</v>
      </c>
      <c r="AJ232" s="4" t="s">
        <v>82</v>
      </c>
      <c r="AK232" s="4" t="s">
        <v>81</v>
      </c>
      <c r="AL232" s="4" t="s">
        <v>66</v>
      </c>
      <c r="AM232" s="4" t="s">
        <v>67</v>
      </c>
      <c r="AN232" s="4" t="s">
        <v>89</v>
      </c>
      <c r="AO232" s="4" t="s">
        <v>137</v>
      </c>
      <c r="AP232" s="4" t="s">
        <v>107</v>
      </c>
      <c r="AQ232" s="4" t="s">
        <v>137</v>
      </c>
      <c r="AR232" s="25">
        <v>7</v>
      </c>
      <c r="AS232" s="4"/>
    </row>
    <row r="233" spans="1:45" x14ac:dyDescent="0.3">
      <c r="A233">
        <v>232</v>
      </c>
      <c r="B233" s="24">
        <v>46252.88484953704</v>
      </c>
      <c r="C233" s="24">
        <v>46252.889097222222</v>
      </c>
      <c r="D233" s="4" t="s">
        <v>45</v>
      </c>
      <c r="E233" s="4"/>
      <c r="F233" s="1"/>
      <c r="G233" s="4" t="s">
        <v>46</v>
      </c>
      <c r="H233" s="4" t="s">
        <v>318</v>
      </c>
      <c r="I233" s="4" t="s">
        <v>238</v>
      </c>
      <c r="J233" s="4" t="s">
        <v>49</v>
      </c>
      <c r="K233" s="4" t="s">
        <v>444</v>
      </c>
      <c r="L233" s="4" t="s">
        <v>73</v>
      </c>
      <c r="M233" s="4" t="s">
        <v>73</v>
      </c>
      <c r="N233" s="4" t="s">
        <v>52</v>
      </c>
      <c r="O233" s="4" t="s">
        <v>228</v>
      </c>
      <c r="P233" s="4" t="s">
        <v>74</v>
      </c>
      <c r="Q233" s="4" t="s">
        <v>75</v>
      </c>
      <c r="R233" s="4" t="s">
        <v>76</v>
      </c>
      <c r="S233" s="4" t="s">
        <v>77</v>
      </c>
      <c r="T233" s="4" t="s">
        <v>58</v>
      </c>
      <c r="U233" s="4" t="s">
        <v>79</v>
      </c>
      <c r="V233" s="4" t="s">
        <v>79</v>
      </c>
      <c r="W233" s="4" t="s">
        <v>79</v>
      </c>
      <c r="X233" s="4" t="s">
        <v>79</v>
      </c>
      <c r="Y233" s="4" t="s">
        <v>79</v>
      </c>
      <c r="Z233" s="4" t="s">
        <v>79</v>
      </c>
      <c r="AA233" s="4" t="s">
        <v>79</v>
      </c>
      <c r="AB233" s="4" t="s">
        <v>79</v>
      </c>
      <c r="AC233" s="4" t="s">
        <v>79</v>
      </c>
      <c r="AD233" s="4" t="s">
        <v>80</v>
      </c>
      <c r="AE233" s="4" t="s">
        <v>94</v>
      </c>
      <c r="AF233" s="4" t="s">
        <v>62</v>
      </c>
      <c r="AG233" s="4" t="s">
        <v>63</v>
      </c>
      <c r="AH233" s="4" t="s">
        <v>63</v>
      </c>
      <c r="AI233" s="4" t="s">
        <v>63</v>
      </c>
      <c r="AJ233" s="4" t="s">
        <v>65</v>
      </c>
      <c r="AK233" s="4" t="s">
        <v>63</v>
      </c>
      <c r="AL233" s="4" t="s">
        <v>66</v>
      </c>
      <c r="AM233" s="4" t="s">
        <v>67</v>
      </c>
      <c r="AN233" s="4" t="s">
        <v>89</v>
      </c>
      <c r="AO233" s="4" t="s">
        <v>81</v>
      </c>
      <c r="AP233" s="4" t="s">
        <v>69</v>
      </c>
      <c r="AQ233" s="4" t="s">
        <v>63</v>
      </c>
      <c r="AR233" s="25">
        <v>7</v>
      </c>
      <c r="AS233" s="4"/>
    </row>
    <row r="234" spans="1:45" x14ac:dyDescent="0.3">
      <c r="A234">
        <v>233</v>
      </c>
      <c r="B234" s="24">
        <v>46252.889236111114</v>
      </c>
      <c r="C234" s="24">
        <v>46252.8981712963</v>
      </c>
      <c r="D234" s="4" t="s">
        <v>45</v>
      </c>
      <c r="E234" s="4"/>
      <c r="F234" s="1"/>
      <c r="G234" s="4" t="s">
        <v>46</v>
      </c>
      <c r="H234" s="4" t="s">
        <v>91</v>
      </c>
      <c r="I234" s="4" t="s">
        <v>113</v>
      </c>
      <c r="J234" s="4" t="s">
        <v>96</v>
      </c>
      <c r="K234" s="4" t="s">
        <v>445</v>
      </c>
      <c r="L234" s="4" t="s">
        <v>73</v>
      </c>
      <c r="M234" s="4" t="s">
        <v>51</v>
      </c>
      <c r="N234" s="4" t="s">
        <v>52</v>
      </c>
      <c r="O234" s="4" t="s">
        <v>53</v>
      </c>
      <c r="P234" s="4" t="s">
        <v>74</v>
      </c>
      <c r="Q234" s="4" t="s">
        <v>55</v>
      </c>
      <c r="R234" s="4" t="s">
        <v>56</v>
      </c>
      <c r="S234" s="4" t="s">
        <v>57</v>
      </c>
      <c r="T234" s="4" t="s">
        <v>58</v>
      </c>
      <c r="U234" s="4" t="s">
        <v>59</v>
      </c>
      <c r="V234" s="4" t="s">
        <v>59</v>
      </c>
      <c r="W234" s="4" t="s">
        <v>79</v>
      </c>
      <c r="X234" s="4" t="s">
        <v>79</v>
      </c>
      <c r="Y234" s="4" t="s">
        <v>79</v>
      </c>
      <c r="Z234" s="4" t="s">
        <v>59</v>
      </c>
      <c r="AA234" s="4" t="s">
        <v>79</v>
      </c>
      <c r="AB234" s="4" t="s">
        <v>59</v>
      </c>
      <c r="AC234" s="4" t="s">
        <v>79</v>
      </c>
      <c r="AD234" s="4" t="s">
        <v>60</v>
      </c>
      <c r="AE234" s="4" t="s">
        <v>94</v>
      </c>
      <c r="AF234" s="4" t="s">
        <v>119</v>
      </c>
      <c r="AG234" s="4" t="s">
        <v>81</v>
      </c>
      <c r="AH234" s="4" t="s">
        <v>63</v>
      </c>
      <c r="AI234" s="4" t="s">
        <v>63</v>
      </c>
      <c r="AJ234" s="4" t="s">
        <v>65</v>
      </c>
      <c r="AK234" s="4" t="s">
        <v>63</v>
      </c>
      <c r="AL234" s="4" t="s">
        <v>102</v>
      </c>
      <c r="AM234" s="4" t="s">
        <v>67</v>
      </c>
      <c r="AN234" s="4" t="s">
        <v>89</v>
      </c>
      <c r="AO234" s="4" t="s">
        <v>63</v>
      </c>
      <c r="AP234" s="4" t="s">
        <v>98</v>
      </c>
      <c r="AQ234" s="4" t="s">
        <v>63</v>
      </c>
      <c r="AR234" s="25">
        <v>8</v>
      </c>
      <c r="AS234" s="4"/>
    </row>
    <row r="235" spans="1:45" x14ac:dyDescent="0.3">
      <c r="A235">
        <v>234</v>
      </c>
      <c r="B235" s="24">
        <v>46253.32372685185</v>
      </c>
      <c r="C235" s="24">
        <v>46253.325879629629</v>
      </c>
      <c r="D235" s="4" t="s">
        <v>45</v>
      </c>
      <c r="E235" s="4"/>
      <c r="F235" s="1"/>
      <c r="G235" s="4" t="s">
        <v>46</v>
      </c>
      <c r="H235" s="4" t="s">
        <v>112</v>
      </c>
      <c r="I235" s="4" t="s">
        <v>133</v>
      </c>
      <c r="J235" s="4" t="s">
        <v>104</v>
      </c>
      <c r="K235" s="4" t="s">
        <v>446</v>
      </c>
      <c r="L235" s="4" t="s">
        <v>73</v>
      </c>
      <c r="M235" s="4" t="s">
        <v>51</v>
      </c>
      <c r="N235" s="4" t="s">
        <v>116</v>
      </c>
      <c r="O235" s="4" t="s">
        <v>53</v>
      </c>
      <c r="P235" s="4" t="s">
        <v>54</v>
      </c>
      <c r="Q235" s="4" t="s">
        <v>55</v>
      </c>
      <c r="R235" s="4" t="s">
        <v>76</v>
      </c>
      <c r="S235" s="4" t="s">
        <v>57</v>
      </c>
      <c r="T235" s="4" t="s">
        <v>58</v>
      </c>
      <c r="U235" s="4" t="s">
        <v>59</v>
      </c>
      <c r="V235" s="4" t="s">
        <v>79</v>
      </c>
      <c r="W235" s="4" t="s">
        <v>59</v>
      </c>
      <c r="X235" s="4" t="s">
        <v>59</v>
      </c>
      <c r="Y235" s="4" t="s">
        <v>79</v>
      </c>
      <c r="Z235" s="4" t="s">
        <v>59</v>
      </c>
      <c r="AA235" s="4" t="s">
        <v>79</v>
      </c>
      <c r="AB235" s="4" t="s">
        <v>79</v>
      </c>
      <c r="AC235" s="4" t="s">
        <v>79</v>
      </c>
      <c r="AD235" s="4" t="s">
        <v>80</v>
      </c>
      <c r="AE235" s="4" t="s">
        <v>88</v>
      </c>
      <c r="AF235" s="4" t="s">
        <v>62</v>
      </c>
      <c r="AG235" s="4" t="s">
        <v>81</v>
      </c>
      <c r="AH235" s="4" t="s">
        <v>81</v>
      </c>
      <c r="AI235" s="4" t="s">
        <v>81</v>
      </c>
      <c r="AJ235" s="4" t="s">
        <v>82</v>
      </c>
      <c r="AK235" s="4" t="s">
        <v>81</v>
      </c>
      <c r="AL235" s="4" t="s">
        <v>137</v>
      </c>
      <c r="AM235" s="4" t="s">
        <v>137</v>
      </c>
      <c r="AN235" s="4" t="s">
        <v>137</v>
      </c>
      <c r="AO235" s="4" t="s">
        <v>137</v>
      </c>
      <c r="AP235" s="4" t="s">
        <v>107</v>
      </c>
      <c r="AQ235" s="4" t="s">
        <v>81</v>
      </c>
      <c r="AR235" s="25">
        <v>8</v>
      </c>
      <c r="AS235" s="4"/>
    </row>
    <row r="236" spans="1:45" x14ac:dyDescent="0.3">
      <c r="A236">
        <v>235</v>
      </c>
      <c r="B236" s="24">
        <v>46253.325914351852</v>
      </c>
      <c r="C236" s="24">
        <v>46253.327372685184</v>
      </c>
      <c r="D236" s="4" t="s">
        <v>45</v>
      </c>
      <c r="E236" s="4"/>
      <c r="F236" s="1"/>
      <c r="G236" s="4" t="s">
        <v>100</v>
      </c>
      <c r="H236" s="4" t="s">
        <v>47</v>
      </c>
      <c r="I236" s="4" t="s">
        <v>101</v>
      </c>
      <c r="J236" s="4" t="s">
        <v>71</v>
      </c>
      <c r="K236" s="4" t="s">
        <v>447</v>
      </c>
      <c r="L236" s="4" t="s">
        <v>146</v>
      </c>
      <c r="M236" s="4" t="s">
        <v>146</v>
      </c>
      <c r="N236" s="4" t="s">
        <v>52</v>
      </c>
      <c r="O236" s="4" t="s">
        <v>228</v>
      </c>
      <c r="P236" s="4" t="s">
        <v>74</v>
      </c>
      <c r="Q236" s="4" t="s">
        <v>75</v>
      </c>
      <c r="R236" s="4" t="s">
        <v>76</v>
      </c>
      <c r="S236" s="4" t="s">
        <v>57</v>
      </c>
      <c r="T236" s="4" t="s">
        <v>93</v>
      </c>
      <c r="U236" s="4" t="s">
        <v>79</v>
      </c>
      <c r="V236" s="4" t="s">
        <v>59</v>
      </c>
      <c r="W236" s="4" t="s">
        <v>59</v>
      </c>
      <c r="X236" s="4" t="s">
        <v>79</v>
      </c>
      <c r="Y236" s="4" t="s">
        <v>79</v>
      </c>
      <c r="Z236" s="4" t="s">
        <v>79</v>
      </c>
      <c r="AA236" s="4" t="s">
        <v>59</v>
      </c>
      <c r="AB236" s="4" t="s">
        <v>59</v>
      </c>
      <c r="AC236" s="4" t="s">
        <v>59</v>
      </c>
      <c r="AD236" s="4" t="s">
        <v>60</v>
      </c>
      <c r="AE236" s="4" t="s">
        <v>94</v>
      </c>
      <c r="AF236" s="4" t="s">
        <v>119</v>
      </c>
      <c r="AG236" s="4" t="s">
        <v>63</v>
      </c>
      <c r="AH236" s="4" t="s">
        <v>81</v>
      </c>
      <c r="AI236" s="4" t="s">
        <v>63</v>
      </c>
      <c r="AJ236" s="4" t="s">
        <v>65</v>
      </c>
      <c r="AK236" s="4" t="s">
        <v>63</v>
      </c>
      <c r="AL236" s="4" t="s">
        <v>120</v>
      </c>
      <c r="AM236" s="4" t="s">
        <v>67</v>
      </c>
      <c r="AN236" s="4" t="s">
        <v>175</v>
      </c>
      <c r="AO236" s="4" t="s">
        <v>81</v>
      </c>
      <c r="AP236" s="4" t="s">
        <v>107</v>
      </c>
      <c r="AQ236" s="4" t="s">
        <v>137</v>
      </c>
      <c r="AR236" s="25">
        <v>8</v>
      </c>
      <c r="AS236" s="4"/>
    </row>
    <row r="237" spans="1:45" x14ac:dyDescent="0.3">
      <c r="A237">
        <v>236</v>
      </c>
      <c r="B237" s="24">
        <v>46253.328055555554</v>
      </c>
      <c r="C237" s="24">
        <v>46253.328935185185</v>
      </c>
      <c r="D237" s="4" t="s">
        <v>45</v>
      </c>
      <c r="E237" s="4"/>
      <c r="F237" s="1"/>
      <c r="G237" s="4" t="s">
        <v>100</v>
      </c>
      <c r="H237" s="4" t="s">
        <v>47</v>
      </c>
      <c r="I237" s="4" t="s">
        <v>84</v>
      </c>
      <c r="J237" s="4" t="s">
        <v>71</v>
      </c>
      <c r="K237" s="4" t="s">
        <v>118</v>
      </c>
      <c r="L237" s="4" t="s">
        <v>73</v>
      </c>
      <c r="M237" s="4" t="s">
        <v>73</v>
      </c>
      <c r="N237" s="4" t="s">
        <v>52</v>
      </c>
      <c r="O237" s="4" t="s">
        <v>53</v>
      </c>
      <c r="P237" s="4" t="s">
        <v>74</v>
      </c>
      <c r="Q237" s="4" t="s">
        <v>75</v>
      </c>
      <c r="R237" s="4" t="s">
        <v>76</v>
      </c>
      <c r="S237" s="4" t="s">
        <v>77</v>
      </c>
      <c r="T237" s="4" t="s">
        <v>58</v>
      </c>
      <c r="U237" s="4" t="s">
        <v>59</v>
      </c>
      <c r="V237" s="4" t="s">
        <v>79</v>
      </c>
      <c r="W237" s="4" t="s">
        <v>79</v>
      </c>
      <c r="X237" s="4" t="s">
        <v>79</v>
      </c>
      <c r="Y237" s="4" t="s">
        <v>79</v>
      </c>
      <c r="Z237" s="4" t="s">
        <v>79</v>
      </c>
      <c r="AA237" s="4" t="s">
        <v>79</v>
      </c>
      <c r="AB237" s="4" t="s">
        <v>79</v>
      </c>
      <c r="AC237" s="4" t="s">
        <v>79</v>
      </c>
      <c r="AD237" s="4" t="s">
        <v>80</v>
      </c>
      <c r="AE237" s="4" t="s">
        <v>94</v>
      </c>
      <c r="AF237" s="4" t="s">
        <v>62</v>
      </c>
      <c r="AG237" s="4" t="s">
        <v>63</v>
      </c>
      <c r="AH237" s="4" t="s">
        <v>63</v>
      </c>
      <c r="AI237" s="4" t="s">
        <v>63</v>
      </c>
      <c r="AJ237" s="4" t="s">
        <v>82</v>
      </c>
      <c r="AK237" s="4" t="s">
        <v>63</v>
      </c>
      <c r="AL237" s="4" t="s">
        <v>66</v>
      </c>
      <c r="AM237" s="4" t="s">
        <v>121</v>
      </c>
      <c r="AN237" s="4" t="s">
        <v>175</v>
      </c>
      <c r="AO237" s="4" t="s">
        <v>63</v>
      </c>
      <c r="AP237" s="4" t="s">
        <v>98</v>
      </c>
      <c r="AQ237" s="4" t="s">
        <v>63</v>
      </c>
      <c r="AR237" s="25">
        <v>6</v>
      </c>
      <c r="AS237" s="4"/>
    </row>
    <row r="238" spans="1:45" x14ac:dyDescent="0.3">
      <c r="A238">
        <v>237</v>
      </c>
      <c r="B238" s="24">
        <v>46253.32739583333</v>
      </c>
      <c r="C238" s="24">
        <v>46253.329409722224</v>
      </c>
      <c r="D238" s="4" t="s">
        <v>45</v>
      </c>
      <c r="E238" s="4"/>
      <c r="F238" s="1"/>
      <c r="G238" s="4" t="s">
        <v>46</v>
      </c>
      <c r="H238" s="4" t="s">
        <v>318</v>
      </c>
      <c r="I238" s="4" t="s">
        <v>133</v>
      </c>
      <c r="J238" s="4" t="s">
        <v>49</v>
      </c>
      <c r="K238" s="4" t="s">
        <v>240</v>
      </c>
      <c r="L238" s="4" t="s">
        <v>51</v>
      </c>
      <c r="M238" s="4" t="s">
        <v>51</v>
      </c>
      <c r="N238" s="4" t="s">
        <v>52</v>
      </c>
      <c r="O238" s="4" t="s">
        <v>53</v>
      </c>
      <c r="P238" s="4" t="s">
        <v>74</v>
      </c>
      <c r="Q238" s="4" t="s">
        <v>55</v>
      </c>
      <c r="R238" s="4" t="s">
        <v>56</v>
      </c>
      <c r="S238" s="4" t="s">
        <v>77</v>
      </c>
      <c r="T238" s="4" t="s">
        <v>93</v>
      </c>
      <c r="U238" s="4" t="s">
        <v>79</v>
      </c>
      <c r="V238" s="4" t="s">
        <v>79</v>
      </c>
      <c r="W238" s="4" t="s">
        <v>79</v>
      </c>
      <c r="X238" s="4" t="s">
        <v>59</v>
      </c>
      <c r="Y238" s="4" t="s">
        <v>59</v>
      </c>
      <c r="Z238" s="4" t="s">
        <v>59</v>
      </c>
      <c r="AA238" s="4" t="s">
        <v>59</v>
      </c>
      <c r="AB238" s="4" t="s">
        <v>59</v>
      </c>
      <c r="AC238" s="4" t="s">
        <v>59</v>
      </c>
      <c r="AD238" s="4" t="s">
        <v>60</v>
      </c>
      <c r="AE238" s="4" t="s">
        <v>94</v>
      </c>
      <c r="AF238" s="4" t="s">
        <v>62</v>
      </c>
      <c r="AG238" s="4" t="s">
        <v>137</v>
      </c>
      <c r="AH238" s="4" t="s">
        <v>137</v>
      </c>
      <c r="AI238" s="4" t="s">
        <v>137</v>
      </c>
      <c r="AJ238" s="4" t="s">
        <v>65</v>
      </c>
      <c r="AK238" s="4" t="s">
        <v>137</v>
      </c>
      <c r="AL238" s="4" t="s">
        <v>137</v>
      </c>
      <c r="AM238" s="4" t="s">
        <v>137</v>
      </c>
      <c r="AN238" s="4" t="s">
        <v>137</v>
      </c>
      <c r="AO238" s="4" t="s">
        <v>137</v>
      </c>
      <c r="AP238" s="4" t="s">
        <v>107</v>
      </c>
      <c r="AQ238" s="4" t="s">
        <v>137</v>
      </c>
      <c r="AR238" s="25">
        <v>8</v>
      </c>
      <c r="AS238" s="4"/>
    </row>
    <row r="239" spans="1:45" x14ac:dyDescent="0.3">
      <c r="A239">
        <v>238</v>
      </c>
      <c r="B239" s="24">
        <v>46253.328958333332</v>
      </c>
      <c r="C239" s="24">
        <v>46253.329895833333</v>
      </c>
      <c r="D239" s="4" t="s">
        <v>45</v>
      </c>
      <c r="E239" s="4"/>
      <c r="F239" s="1"/>
      <c r="G239" s="4" t="s">
        <v>46</v>
      </c>
      <c r="H239" s="4" t="s">
        <v>318</v>
      </c>
      <c r="I239" s="4" t="s">
        <v>238</v>
      </c>
      <c r="J239" s="4" t="s">
        <v>49</v>
      </c>
      <c r="K239" s="4" t="s">
        <v>448</v>
      </c>
      <c r="L239" s="4" t="s">
        <v>146</v>
      </c>
      <c r="M239" s="4" t="s">
        <v>146</v>
      </c>
      <c r="N239" s="4" t="s">
        <v>199</v>
      </c>
      <c r="O239" s="4" t="s">
        <v>449</v>
      </c>
      <c r="P239" s="4" t="s">
        <v>74</v>
      </c>
      <c r="Q239" s="4" t="s">
        <v>331</v>
      </c>
      <c r="R239" s="4" t="s">
        <v>76</v>
      </c>
      <c r="S239" s="4" t="s">
        <v>106</v>
      </c>
      <c r="T239" s="4" t="s">
        <v>58</v>
      </c>
      <c r="U239" s="4" t="s">
        <v>59</v>
      </c>
      <c r="V239" s="4" t="s">
        <v>59</v>
      </c>
      <c r="W239" s="4" t="s">
        <v>59</v>
      </c>
      <c r="X239" s="4" t="s">
        <v>59</v>
      </c>
      <c r="Y239" s="4" t="s">
        <v>59</v>
      </c>
      <c r="Z239" s="4" t="s">
        <v>59</v>
      </c>
      <c r="AA239" s="4" t="s">
        <v>59</v>
      </c>
      <c r="AB239" s="4" t="s">
        <v>59</v>
      </c>
      <c r="AC239" s="4" t="s">
        <v>59</v>
      </c>
      <c r="AD239" s="4" t="s">
        <v>98</v>
      </c>
      <c r="AE239" s="4" t="s">
        <v>61</v>
      </c>
      <c r="AF239" s="4" t="s">
        <v>62</v>
      </c>
      <c r="AG239" s="4" t="s">
        <v>63</v>
      </c>
      <c r="AH239" s="4" t="s">
        <v>63</v>
      </c>
      <c r="AI239" s="4" t="s">
        <v>81</v>
      </c>
      <c r="AJ239" s="4" t="s">
        <v>82</v>
      </c>
      <c r="AK239" s="4" t="s">
        <v>81</v>
      </c>
      <c r="AL239" s="4" t="s">
        <v>137</v>
      </c>
      <c r="AM239" s="4" t="s">
        <v>137</v>
      </c>
      <c r="AN239" s="4" t="s">
        <v>137</v>
      </c>
      <c r="AO239" s="4" t="s">
        <v>81</v>
      </c>
      <c r="AP239" s="4" t="s">
        <v>107</v>
      </c>
      <c r="AQ239" s="4" t="s">
        <v>81</v>
      </c>
      <c r="AR239" s="25">
        <v>3</v>
      </c>
      <c r="AS239" s="4"/>
    </row>
    <row r="240" spans="1:45" x14ac:dyDescent="0.3">
      <c r="A240">
        <v>239</v>
      </c>
      <c r="B240" s="24">
        <v>46253.329907407409</v>
      </c>
      <c r="C240" s="24">
        <v>46253.330810185187</v>
      </c>
      <c r="D240" s="4" t="s">
        <v>45</v>
      </c>
      <c r="E240" s="4"/>
      <c r="F240" s="1"/>
      <c r="G240" s="4" t="s">
        <v>46</v>
      </c>
      <c r="H240" s="4" t="s">
        <v>91</v>
      </c>
      <c r="I240" s="4" t="s">
        <v>113</v>
      </c>
      <c r="J240" s="4" t="s">
        <v>162</v>
      </c>
      <c r="K240" s="4" t="s">
        <v>450</v>
      </c>
      <c r="L240" s="4" t="s">
        <v>51</v>
      </c>
      <c r="M240" s="4" t="s">
        <v>51</v>
      </c>
      <c r="N240" s="4" t="s">
        <v>116</v>
      </c>
      <c r="O240" s="4" t="s">
        <v>449</v>
      </c>
      <c r="P240" s="4" t="s">
        <v>54</v>
      </c>
      <c r="Q240" s="4" t="s">
        <v>55</v>
      </c>
      <c r="R240" s="4" t="s">
        <v>56</v>
      </c>
      <c r="S240" s="4" t="s">
        <v>77</v>
      </c>
      <c r="T240" s="4" t="s">
        <v>93</v>
      </c>
      <c r="U240" s="4" t="s">
        <v>59</v>
      </c>
      <c r="V240" s="4" t="s">
        <v>59</v>
      </c>
      <c r="W240" s="4" t="s">
        <v>79</v>
      </c>
      <c r="X240" s="4" t="s">
        <v>79</v>
      </c>
      <c r="Y240" s="4" t="s">
        <v>59</v>
      </c>
      <c r="Z240" s="4" t="s">
        <v>59</v>
      </c>
      <c r="AA240" s="4" t="s">
        <v>79</v>
      </c>
      <c r="AB240" s="4" t="s">
        <v>79</v>
      </c>
      <c r="AC240" s="4" t="s">
        <v>59</v>
      </c>
      <c r="AD240" s="4" t="s">
        <v>60</v>
      </c>
      <c r="AE240" s="4" t="s">
        <v>94</v>
      </c>
      <c r="AF240" s="4" t="s">
        <v>119</v>
      </c>
      <c r="AG240" s="4" t="s">
        <v>63</v>
      </c>
      <c r="AH240" s="4" t="s">
        <v>63</v>
      </c>
      <c r="AI240" s="4" t="s">
        <v>64</v>
      </c>
      <c r="AJ240" s="4" t="s">
        <v>65</v>
      </c>
      <c r="AK240" s="4" t="s">
        <v>64</v>
      </c>
      <c r="AL240" s="4" t="s">
        <v>102</v>
      </c>
      <c r="AM240" s="4" t="s">
        <v>121</v>
      </c>
      <c r="AN240" s="4" t="s">
        <v>89</v>
      </c>
      <c r="AO240" s="4" t="s">
        <v>64</v>
      </c>
      <c r="AP240" s="4" t="s">
        <v>110</v>
      </c>
      <c r="AQ240" s="4" t="s">
        <v>64</v>
      </c>
      <c r="AR240" s="25">
        <v>9</v>
      </c>
      <c r="AS240" s="4"/>
    </row>
    <row r="241" spans="1:45" x14ac:dyDescent="0.3">
      <c r="A241">
        <v>240</v>
      </c>
      <c r="B241" s="24">
        <v>46253.332997685182</v>
      </c>
      <c r="C241" s="24">
        <v>46253.334108796298</v>
      </c>
      <c r="D241" s="4" t="s">
        <v>45</v>
      </c>
      <c r="E241" s="4"/>
      <c r="F241" s="1"/>
      <c r="G241" s="4" t="s">
        <v>46</v>
      </c>
      <c r="H241" s="4" t="s">
        <v>47</v>
      </c>
      <c r="I241" s="4" t="s">
        <v>84</v>
      </c>
      <c r="J241" s="4" t="s">
        <v>96</v>
      </c>
      <c r="K241" s="4" t="s">
        <v>339</v>
      </c>
      <c r="L241" s="4" t="s">
        <v>73</v>
      </c>
      <c r="M241" s="4" t="s">
        <v>73</v>
      </c>
      <c r="N241" s="4" t="s">
        <v>52</v>
      </c>
      <c r="O241" s="4" t="s">
        <v>228</v>
      </c>
      <c r="P241" s="4" t="s">
        <v>74</v>
      </c>
      <c r="Q241" s="4" t="s">
        <v>75</v>
      </c>
      <c r="R241" s="4" t="s">
        <v>76</v>
      </c>
      <c r="S241" s="4" t="s">
        <v>77</v>
      </c>
      <c r="T241" s="4" t="s">
        <v>58</v>
      </c>
      <c r="U241" s="4" t="s">
        <v>79</v>
      </c>
      <c r="V241" s="4" t="s">
        <v>79</v>
      </c>
      <c r="W241" s="4" t="s">
        <v>79</v>
      </c>
      <c r="X241" s="4" t="s">
        <v>79</v>
      </c>
      <c r="Y241" s="4" t="s">
        <v>79</v>
      </c>
      <c r="Z241" s="4" t="s">
        <v>79</v>
      </c>
      <c r="AA241" s="4" t="s">
        <v>79</v>
      </c>
      <c r="AB241" s="4" t="s">
        <v>79</v>
      </c>
      <c r="AC241" s="4" t="s">
        <v>79</v>
      </c>
      <c r="AD241" s="4" t="s">
        <v>80</v>
      </c>
      <c r="AE241" s="4" t="s">
        <v>61</v>
      </c>
      <c r="AF241" s="4" t="s">
        <v>62</v>
      </c>
      <c r="AG241" s="4" t="s">
        <v>63</v>
      </c>
      <c r="AH241" s="4" t="s">
        <v>63</v>
      </c>
      <c r="AI241" s="4" t="s">
        <v>63</v>
      </c>
      <c r="AJ241" s="4" t="s">
        <v>82</v>
      </c>
      <c r="AK241" s="4" t="s">
        <v>63</v>
      </c>
      <c r="AL241" s="4" t="s">
        <v>120</v>
      </c>
      <c r="AM241" s="4" t="s">
        <v>121</v>
      </c>
      <c r="AN241" s="4" t="s">
        <v>68</v>
      </c>
      <c r="AO241" s="4" t="s">
        <v>63</v>
      </c>
      <c r="AP241" s="4" t="s">
        <v>98</v>
      </c>
      <c r="AQ241" s="4" t="s">
        <v>63</v>
      </c>
      <c r="AR241" s="25">
        <v>7</v>
      </c>
      <c r="AS241" s="4"/>
    </row>
    <row r="242" spans="1:45" x14ac:dyDescent="0.3">
      <c r="A242">
        <v>241</v>
      </c>
      <c r="B242" s="24">
        <v>46253.329432870371</v>
      </c>
      <c r="C242" s="24">
        <v>46253.334305555552</v>
      </c>
      <c r="D242" s="4" t="s">
        <v>45</v>
      </c>
      <c r="E242" s="4"/>
      <c r="F242" s="1"/>
      <c r="G242" s="4" t="s">
        <v>100</v>
      </c>
      <c r="H242" s="4" t="s">
        <v>112</v>
      </c>
      <c r="I242" s="4" t="s">
        <v>238</v>
      </c>
      <c r="J242" s="4" t="s">
        <v>104</v>
      </c>
      <c r="K242" s="4" t="s">
        <v>451</v>
      </c>
      <c r="L242" s="4" t="s">
        <v>51</v>
      </c>
      <c r="M242" s="4" t="s">
        <v>51</v>
      </c>
      <c r="N242" s="4" t="s">
        <v>116</v>
      </c>
      <c r="O242" s="4" t="s">
        <v>53</v>
      </c>
      <c r="P242" s="4" t="s">
        <v>74</v>
      </c>
      <c r="Q242" s="4" t="s">
        <v>75</v>
      </c>
      <c r="R242" s="4" t="s">
        <v>56</v>
      </c>
      <c r="S242" s="4" t="s">
        <v>77</v>
      </c>
      <c r="T242" s="4" t="s">
        <v>58</v>
      </c>
      <c r="U242" s="4" t="s">
        <v>59</v>
      </c>
      <c r="V242" s="4" t="s">
        <v>59</v>
      </c>
      <c r="W242" s="4" t="s">
        <v>59</v>
      </c>
      <c r="X242" s="4" t="s">
        <v>59</v>
      </c>
      <c r="Y242" s="4" t="s">
        <v>59</v>
      </c>
      <c r="Z242" s="4" t="s">
        <v>59</v>
      </c>
      <c r="AA242" s="4" t="s">
        <v>79</v>
      </c>
      <c r="AB242" s="4" t="s">
        <v>59</v>
      </c>
      <c r="AC242" s="4" t="s">
        <v>59</v>
      </c>
      <c r="AD242" s="4" t="s">
        <v>80</v>
      </c>
      <c r="AE242" s="4" t="s">
        <v>61</v>
      </c>
      <c r="AF242" s="4" t="s">
        <v>62</v>
      </c>
      <c r="AG242" s="4" t="s">
        <v>63</v>
      </c>
      <c r="AH242" s="4" t="s">
        <v>63</v>
      </c>
      <c r="AI242" s="4" t="s">
        <v>81</v>
      </c>
      <c r="AJ242" s="4" t="s">
        <v>82</v>
      </c>
      <c r="AK242" s="4" t="s">
        <v>81</v>
      </c>
      <c r="AL242" s="4" t="s">
        <v>137</v>
      </c>
      <c r="AM242" s="4" t="s">
        <v>137</v>
      </c>
      <c r="AN242" s="4" t="s">
        <v>175</v>
      </c>
      <c r="AO242" s="4" t="s">
        <v>63</v>
      </c>
      <c r="AP242" s="4" t="s">
        <v>98</v>
      </c>
      <c r="AQ242" s="4" t="s">
        <v>81</v>
      </c>
      <c r="AR242" s="25">
        <v>9</v>
      </c>
      <c r="AS242" s="4"/>
    </row>
    <row r="243" spans="1:45" x14ac:dyDescent="0.3">
      <c r="A243">
        <v>242</v>
      </c>
      <c r="B243" s="24">
        <v>46253.334143518521</v>
      </c>
      <c r="C243" s="24">
        <v>46253.339965277781</v>
      </c>
      <c r="D243" s="4" t="s">
        <v>45</v>
      </c>
      <c r="E243" s="4"/>
      <c r="F243" s="1"/>
      <c r="G243" s="4" t="s">
        <v>100</v>
      </c>
      <c r="H243" s="4" t="s">
        <v>91</v>
      </c>
      <c r="I243" s="4" t="s">
        <v>101</v>
      </c>
      <c r="J243" s="4" t="s">
        <v>125</v>
      </c>
      <c r="K243" s="4" t="s">
        <v>362</v>
      </c>
      <c r="L243" s="4" t="s">
        <v>73</v>
      </c>
      <c r="M243" s="4" t="s">
        <v>146</v>
      </c>
      <c r="N243" s="4" t="s">
        <v>52</v>
      </c>
      <c r="O243" s="4" t="s">
        <v>228</v>
      </c>
      <c r="P243" s="4" t="s">
        <v>74</v>
      </c>
      <c r="Q243" s="4" t="s">
        <v>75</v>
      </c>
      <c r="R243" s="4" t="s">
        <v>76</v>
      </c>
      <c r="S243" s="4" t="s">
        <v>77</v>
      </c>
      <c r="T243" s="4" t="s">
        <v>58</v>
      </c>
      <c r="U243" s="4" t="s">
        <v>79</v>
      </c>
      <c r="V243" s="4" t="s">
        <v>79</v>
      </c>
      <c r="W243" s="4" t="s">
        <v>79</v>
      </c>
      <c r="X243" s="4" t="s">
        <v>79</v>
      </c>
      <c r="Y243" s="4" t="s">
        <v>79</v>
      </c>
      <c r="Z243" s="4" t="s">
        <v>79</v>
      </c>
      <c r="AA243" s="4" t="s">
        <v>79</v>
      </c>
      <c r="AB243" s="4" t="s">
        <v>79</v>
      </c>
      <c r="AC243" s="4" t="s">
        <v>79</v>
      </c>
      <c r="AD243" s="4" t="s">
        <v>80</v>
      </c>
      <c r="AE243" s="4" t="s">
        <v>61</v>
      </c>
      <c r="AF243" s="4" t="s">
        <v>147</v>
      </c>
      <c r="AG243" s="4" t="s">
        <v>63</v>
      </c>
      <c r="AH243" s="4" t="s">
        <v>63</v>
      </c>
      <c r="AI243" s="4" t="s">
        <v>63</v>
      </c>
      <c r="AJ243" s="4" t="s">
        <v>82</v>
      </c>
      <c r="AK243" s="4" t="s">
        <v>63</v>
      </c>
      <c r="AL243" s="4" t="s">
        <v>102</v>
      </c>
      <c r="AM243" s="4" t="s">
        <v>121</v>
      </c>
      <c r="AN243" s="4" t="s">
        <v>89</v>
      </c>
      <c r="AO243" s="4" t="s">
        <v>63</v>
      </c>
      <c r="AP243" s="4" t="s">
        <v>69</v>
      </c>
      <c r="AQ243" s="4" t="s">
        <v>63</v>
      </c>
      <c r="AR243" s="25">
        <v>7</v>
      </c>
      <c r="AS243" s="4"/>
    </row>
    <row r="244" spans="1:45" x14ac:dyDescent="0.3">
      <c r="A244">
        <v>243</v>
      </c>
      <c r="B244" s="24">
        <v>46253.340266203704</v>
      </c>
      <c r="C244" s="24">
        <v>46253.340462962966</v>
      </c>
      <c r="D244" s="4" t="s">
        <v>45</v>
      </c>
      <c r="E244" s="4"/>
      <c r="F244" s="1"/>
      <c r="G244" s="4" t="s">
        <v>100</v>
      </c>
      <c r="H244" s="4" t="s">
        <v>47</v>
      </c>
      <c r="I244" s="4" t="s">
        <v>48</v>
      </c>
      <c r="J244" s="4" t="s">
        <v>125</v>
      </c>
      <c r="K244" s="4" t="s">
        <v>452</v>
      </c>
      <c r="L244" s="4" t="s">
        <v>73</v>
      </c>
      <c r="M244" s="4" t="s">
        <v>146</v>
      </c>
      <c r="N244" s="4" t="s">
        <v>52</v>
      </c>
      <c r="O244" s="4" t="s">
        <v>53</v>
      </c>
      <c r="P244" s="4" t="s">
        <v>74</v>
      </c>
      <c r="Q244" s="4" t="s">
        <v>75</v>
      </c>
      <c r="R244" s="4" t="s">
        <v>56</v>
      </c>
      <c r="S244" s="4" t="s">
        <v>57</v>
      </c>
      <c r="T244" s="4" t="s">
        <v>58</v>
      </c>
      <c r="U244" s="4" t="s">
        <v>59</v>
      </c>
      <c r="V244" s="4" t="s">
        <v>59</v>
      </c>
      <c r="W244" s="4" t="s">
        <v>59</v>
      </c>
      <c r="X244" s="4" t="s">
        <v>59</v>
      </c>
      <c r="Y244" s="4" t="s">
        <v>59</v>
      </c>
      <c r="Z244" s="4" t="s">
        <v>59</v>
      </c>
      <c r="AA244" s="4" t="s">
        <v>59</v>
      </c>
      <c r="AB244" s="4" t="s">
        <v>59</v>
      </c>
      <c r="AC244" s="4" t="s">
        <v>59</v>
      </c>
      <c r="AD244" s="4" t="s">
        <v>187</v>
      </c>
      <c r="AE244" s="4" t="s">
        <v>88</v>
      </c>
      <c r="AF244" s="4" t="s">
        <v>147</v>
      </c>
      <c r="AG244" s="4" t="s">
        <v>63</v>
      </c>
      <c r="AH244" s="4" t="s">
        <v>81</v>
      </c>
      <c r="AI244" s="4" t="s">
        <v>63</v>
      </c>
      <c r="AJ244" s="4" t="s">
        <v>65</v>
      </c>
      <c r="AK244" s="4" t="s">
        <v>63</v>
      </c>
      <c r="AL244" s="4" t="s">
        <v>102</v>
      </c>
      <c r="AM244" s="4" t="s">
        <v>121</v>
      </c>
      <c r="AN244" s="4" t="s">
        <v>68</v>
      </c>
      <c r="AO244" s="4" t="s">
        <v>81</v>
      </c>
      <c r="AP244" s="4" t="s">
        <v>98</v>
      </c>
      <c r="AQ244" s="4" t="s">
        <v>81</v>
      </c>
      <c r="AR244" s="25">
        <v>7</v>
      </c>
      <c r="AS244" s="4"/>
    </row>
    <row r="245" spans="1:45" x14ac:dyDescent="0.3">
      <c r="A245">
        <v>244</v>
      </c>
      <c r="B245" s="24">
        <v>46253.342372685183</v>
      </c>
      <c r="C245" s="24">
        <v>46253.54310185185</v>
      </c>
      <c r="D245" s="4" t="s">
        <v>45</v>
      </c>
      <c r="E245" s="4"/>
      <c r="F245" s="1"/>
      <c r="G245" s="4" t="s">
        <v>100</v>
      </c>
      <c r="H245" s="4" t="s">
        <v>47</v>
      </c>
      <c r="I245" s="4" t="s">
        <v>48</v>
      </c>
      <c r="J245" s="4" t="s">
        <v>162</v>
      </c>
      <c r="K245" s="4" t="s">
        <v>453</v>
      </c>
      <c r="L245" s="4" t="s">
        <v>51</v>
      </c>
      <c r="M245" s="4" t="s">
        <v>51</v>
      </c>
      <c r="N245" s="4" t="s">
        <v>52</v>
      </c>
      <c r="O245" s="4" t="s">
        <v>228</v>
      </c>
      <c r="P245" s="4" t="s">
        <v>54</v>
      </c>
      <c r="Q245" s="4" t="s">
        <v>55</v>
      </c>
      <c r="R245" s="4" t="s">
        <v>56</v>
      </c>
      <c r="S245" s="4" t="s">
        <v>77</v>
      </c>
      <c r="T245" s="4" t="s">
        <v>93</v>
      </c>
      <c r="U245" s="4" t="s">
        <v>59</v>
      </c>
      <c r="V245" s="4" t="s">
        <v>79</v>
      </c>
      <c r="W245" s="4" t="s">
        <v>79</v>
      </c>
      <c r="X245" s="4" t="s">
        <v>79</v>
      </c>
      <c r="Y245" s="4" t="s">
        <v>79</v>
      </c>
      <c r="Z245" s="4" t="s">
        <v>79</v>
      </c>
      <c r="AA245" s="4" t="s">
        <v>79</v>
      </c>
      <c r="AB245" s="4" t="s">
        <v>79</v>
      </c>
      <c r="AC245" s="4" t="s">
        <v>79</v>
      </c>
      <c r="AD245" s="4" t="s">
        <v>80</v>
      </c>
      <c r="AE245" s="4" t="s">
        <v>61</v>
      </c>
      <c r="AF245" s="4" t="s">
        <v>62</v>
      </c>
      <c r="AG245" s="4" t="s">
        <v>63</v>
      </c>
      <c r="AH245" s="4" t="s">
        <v>81</v>
      </c>
      <c r="AI245" s="4" t="s">
        <v>64</v>
      </c>
      <c r="AJ245" s="4" t="s">
        <v>65</v>
      </c>
      <c r="AK245" s="4" t="s">
        <v>63</v>
      </c>
      <c r="AL245" s="4" t="s">
        <v>102</v>
      </c>
      <c r="AM245" s="4" t="s">
        <v>67</v>
      </c>
      <c r="AN245" s="4" t="s">
        <v>175</v>
      </c>
      <c r="AO245" s="4" t="s">
        <v>81</v>
      </c>
      <c r="AP245" s="4" t="s">
        <v>107</v>
      </c>
      <c r="AQ245" s="4" t="s">
        <v>81</v>
      </c>
      <c r="AR245" s="25">
        <v>8</v>
      </c>
      <c r="AS245" s="4"/>
    </row>
    <row r="246" spans="1:45" x14ac:dyDescent="0.3">
      <c r="A246">
        <v>245</v>
      </c>
      <c r="B246" s="24">
        <v>46253.543263888889</v>
      </c>
      <c r="C246" s="24">
        <v>46253.544074074074</v>
      </c>
      <c r="D246" s="4" t="s">
        <v>45</v>
      </c>
      <c r="E246" s="4"/>
      <c r="F246" s="1"/>
      <c r="G246" s="4" t="s">
        <v>46</v>
      </c>
      <c r="H246" s="4" t="s">
        <v>91</v>
      </c>
      <c r="I246" s="4" t="s">
        <v>48</v>
      </c>
      <c r="J246" s="4" t="s">
        <v>140</v>
      </c>
      <c r="K246" s="4" t="s">
        <v>118</v>
      </c>
      <c r="L246" s="4" t="s">
        <v>73</v>
      </c>
      <c r="M246" s="4" t="s">
        <v>51</v>
      </c>
      <c r="N246" s="4" t="s">
        <v>116</v>
      </c>
      <c r="O246" s="4" t="s">
        <v>53</v>
      </c>
      <c r="P246" s="4" t="s">
        <v>54</v>
      </c>
      <c r="Q246" s="4" t="s">
        <v>75</v>
      </c>
      <c r="R246" s="4" t="s">
        <v>76</v>
      </c>
      <c r="S246" s="4" t="s">
        <v>57</v>
      </c>
      <c r="T246" s="4" t="s">
        <v>93</v>
      </c>
      <c r="U246" s="4" t="s">
        <v>79</v>
      </c>
      <c r="V246" s="4" t="s">
        <v>79</v>
      </c>
      <c r="W246" s="4" t="s">
        <v>79</v>
      </c>
      <c r="X246" s="4" t="s">
        <v>79</v>
      </c>
      <c r="Y246" s="4" t="s">
        <v>59</v>
      </c>
      <c r="Z246" s="4" t="s">
        <v>59</v>
      </c>
      <c r="AA246" s="4" t="s">
        <v>59</v>
      </c>
      <c r="AB246" s="4" t="s">
        <v>79</v>
      </c>
      <c r="AC246" s="4" t="s">
        <v>79</v>
      </c>
      <c r="AD246" s="4" t="s">
        <v>60</v>
      </c>
      <c r="AE246" s="4" t="s">
        <v>94</v>
      </c>
      <c r="AF246" s="4" t="s">
        <v>119</v>
      </c>
      <c r="AG246" s="4" t="s">
        <v>64</v>
      </c>
      <c r="AH246" s="4" t="s">
        <v>64</v>
      </c>
      <c r="AI246" s="4" t="s">
        <v>64</v>
      </c>
      <c r="AJ246" s="4" t="s">
        <v>65</v>
      </c>
      <c r="AK246" s="4" t="s">
        <v>64</v>
      </c>
      <c r="AL246" s="4" t="s">
        <v>120</v>
      </c>
      <c r="AM246" s="4" t="s">
        <v>67</v>
      </c>
      <c r="AN246" s="4" t="s">
        <v>175</v>
      </c>
      <c r="AO246" s="4" t="s">
        <v>64</v>
      </c>
      <c r="AP246" s="4" t="s">
        <v>110</v>
      </c>
      <c r="AQ246" s="4" t="s">
        <v>64</v>
      </c>
      <c r="AR246" s="25">
        <v>9</v>
      </c>
      <c r="AS246" s="4"/>
    </row>
    <row r="247" spans="1:45" x14ac:dyDescent="0.3">
      <c r="A247">
        <v>246</v>
      </c>
      <c r="B247" s="24">
        <v>46253.54409722222</v>
      </c>
      <c r="C247" s="24">
        <v>46253.544791666667</v>
      </c>
      <c r="D247" s="4" t="s">
        <v>45</v>
      </c>
      <c r="E247" s="4"/>
      <c r="F247" s="1"/>
      <c r="G247" s="4" t="s">
        <v>100</v>
      </c>
      <c r="H247" s="4" t="s">
        <v>47</v>
      </c>
      <c r="I247" s="4" t="s">
        <v>84</v>
      </c>
      <c r="J247" s="4" t="s">
        <v>186</v>
      </c>
      <c r="K247" s="4" t="s">
        <v>454</v>
      </c>
      <c r="L247" s="4" t="s">
        <v>51</v>
      </c>
      <c r="M247" s="4" t="s">
        <v>51</v>
      </c>
      <c r="N247" s="4" t="s">
        <v>116</v>
      </c>
      <c r="O247" s="4" t="s">
        <v>53</v>
      </c>
      <c r="P247" s="4" t="s">
        <v>54</v>
      </c>
      <c r="Q247" s="4" t="s">
        <v>55</v>
      </c>
      <c r="R247" s="4" t="s">
        <v>56</v>
      </c>
      <c r="S247" s="4" t="s">
        <v>57</v>
      </c>
      <c r="T247" s="4" t="s">
        <v>93</v>
      </c>
      <c r="U247" s="4" t="s">
        <v>59</v>
      </c>
      <c r="V247" s="4" t="s">
        <v>59</v>
      </c>
      <c r="W247" s="4" t="s">
        <v>59</v>
      </c>
      <c r="X247" s="4" t="s">
        <v>59</v>
      </c>
      <c r="Y247" s="4" t="s">
        <v>59</v>
      </c>
      <c r="Z247" s="4" t="s">
        <v>59</v>
      </c>
      <c r="AA247" s="4" t="s">
        <v>59</v>
      </c>
      <c r="AB247" s="4" t="s">
        <v>59</v>
      </c>
      <c r="AC247" s="4" t="s">
        <v>59</v>
      </c>
      <c r="AD247" s="4" t="s">
        <v>60</v>
      </c>
      <c r="AE247" s="4" t="s">
        <v>94</v>
      </c>
      <c r="AF247" s="4" t="s">
        <v>119</v>
      </c>
      <c r="AG247" s="4" t="s">
        <v>64</v>
      </c>
      <c r="AH247" s="4" t="s">
        <v>64</v>
      </c>
      <c r="AI247" s="4" t="s">
        <v>64</v>
      </c>
      <c r="AJ247" s="4" t="s">
        <v>65</v>
      </c>
      <c r="AK247" s="4" t="s">
        <v>64</v>
      </c>
      <c r="AL247" s="4" t="s">
        <v>120</v>
      </c>
      <c r="AM247" s="4" t="s">
        <v>67</v>
      </c>
      <c r="AN247" s="4" t="s">
        <v>175</v>
      </c>
      <c r="AO247" s="4" t="s">
        <v>64</v>
      </c>
      <c r="AP247" s="4" t="s">
        <v>110</v>
      </c>
      <c r="AQ247" s="4" t="s">
        <v>64</v>
      </c>
      <c r="AR247" s="25">
        <v>10</v>
      </c>
      <c r="AS247" s="4"/>
    </row>
    <row r="248" spans="1:45" x14ac:dyDescent="0.3">
      <c r="A248">
        <v>247</v>
      </c>
      <c r="B248" s="24">
        <v>46253.544814814813</v>
      </c>
      <c r="C248" s="24">
        <v>46253.545578703706</v>
      </c>
      <c r="D248" s="4" t="s">
        <v>45</v>
      </c>
      <c r="E248" s="4"/>
      <c r="F248" s="1"/>
      <c r="G248" s="4" t="s">
        <v>46</v>
      </c>
      <c r="H248" s="4" t="s">
        <v>47</v>
      </c>
      <c r="I248" s="4" t="s">
        <v>84</v>
      </c>
      <c r="J248" s="4" t="s">
        <v>186</v>
      </c>
      <c r="K248" s="4" t="s">
        <v>128</v>
      </c>
      <c r="L248" s="4" t="s">
        <v>51</v>
      </c>
      <c r="M248" s="4" t="s">
        <v>73</v>
      </c>
      <c r="N248" s="4" t="s">
        <v>116</v>
      </c>
      <c r="O248" s="4" t="s">
        <v>228</v>
      </c>
      <c r="P248" s="4" t="s">
        <v>74</v>
      </c>
      <c r="Q248" s="4" t="s">
        <v>75</v>
      </c>
      <c r="R248" s="4" t="s">
        <v>56</v>
      </c>
      <c r="S248" s="4" t="s">
        <v>57</v>
      </c>
      <c r="T248" s="4" t="s">
        <v>93</v>
      </c>
      <c r="U248" s="4" t="s">
        <v>79</v>
      </c>
      <c r="V248" s="4" t="s">
        <v>59</v>
      </c>
      <c r="W248" s="4" t="s">
        <v>79</v>
      </c>
      <c r="X248" s="4" t="s">
        <v>79</v>
      </c>
      <c r="Y248" s="4" t="s">
        <v>59</v>
      </c>
      <c r="Z248" s="4" t="s">
        <v>79</v>
      </c>
      <c r="AA248" s="4" t="s">
        <v>59</v>
      </c>
      <c r="AB248" s="4" t="s">
        <v>59</v>
      </c>
      <c r="AC248" s="4" t="s">
        <v>59</v>
      </c>
      <c r="AD248" s="4" t="s">
        <v>98</v>
      </c>
      <c r="AE248" s="4" t="s">
        <v>88</v>
      </c>
      <c r="AF248" s="4" t="s">
        <v>62</v>
      </c>
      <c r="AG248" s="4" t="s">
        <v>63</v>
      </c>
      <c r="AH248" s="4" t="s">
        <v>81</v>
      </c>
      <c r="AI248" s="4" t="s">
        <v>63</v>
      </c>
      <c r="AJ248" s="4" t="s">
        <v>65</v>
      </c>
      <c r="AK248" s="4" t="s">
        <v>81</v>
      </c>
      <c r="AL248" s="4" t="s">
        <v>102</v>
      </c>
      <c r="AM248" s="4" t="s">
        <v>67</v>
      </c>
      <c r="AN248" s="4" t="s">
        <v>175</v>
      </c>
      <c r="AO248" s="4" t="s">
        <v>81</v>
      </c>
      <c r="AP248" s="4" t="s">
        <v>107</v>
      </c>
      <c r="AQ248" s="4" t="s">
        <v>63</v>
      </c>
      <c r="AR248" s="25">
        <v>8</v>
      </c>
      <c r="AS248" s="4"/>
    </row>
    <row r="249" spans="1:45" x14ac:dyDescent="0.3">
      <c r="A249">
        <v>248</v>
      </c>
      <c r="B249" s="24">
        <v>46253.545601851853</v>
      </c>
      <c r="C249" s="24">
        <v>46253.546331018515</v>
      </c>
      <c r="D249" s="4" t="s">
        <v>45</v>
      </c>
      <c r="E249" s="4"/>
      <c r="F249" s="1"/>
      <c r="G249" s="4" t="s">
        <v>100</v>
      </c>
      <c r="H249" s="4" t="s">
        <v>47</v>
      </c>
      <c r="I249" s="4" t="s">
        <v>113</v>
      </c>
      <c r="J249" s="4" t="s">
        <v>125</v>
      </c>
      <c r="K249" s="4" t="s">
        <v>455</v>
      </c>
      <c r="L249" s="4" t="s">
        <v>73</v>
      </c>
      <c r="M249" s="4" t="s">
        <v>51</v>
      </c>
      <c r="N249" s="4" t="s">
        <v>116</v>
      </c>
      <c r="O249" s="4" t="s">
        <v>228</v>
      </c>
      <c r="P249" s="4" t="s">
        <v>54</v>
      </c>
      <c r="Q249" s="4" t="s">
        <v>55</v>
      </c>
      <c r="R249" s="4" t="s">
        <v>56</v>
      </c>
      <c r="S249" s="4" t="s">
        <v>57</v>
      </c>
      <c r="T249" s="4" t="s">
        <v>93</v>
      </c>
      <c r="U249" s="4" t="s">
        <v>59</v>
      </c>
      <c r="V249" s="4" t="s">
        <v>59</v>
      </c>
      <c r="W249" s="4" t="s">
        <v>59</v>
      </c>
      <c r="X249" s="4" t="s">
        <v>59</v>
      </c>
      <c r="Y249" s="4" t="s">
        <v>59</v>
      </c>
      <c r="Z249" s="4" t="s">
        <v>59</v>
      </c>
      <c r="AA249" s="4" t="s">
        <v>59</v>
      </c>
      <c r="AB249" s="4" t="s">
        <v>59</v>
      </c>
      <c r="AC249" s="4" t="s">
        <v>79</v>
      </c>
      <c r="AD249" s="4" t="s">
        <v>60</v>
      </c>
      <c r="AE249" s="4" t="s">
        <v>61</v>
      </c>
      <c r="AF249" s="4" t="s">
        <v>62</v>
      </c>
      <c r="AG249" s="4" t="s">
        <v>81</v>
      </c>
      <c r="AH249" s="4" t="s">
        <v>81</v>
      </c>
      <c r="AI249" s="4" t="s">
        <v>63</v>
      </c>
      <c r="AJ249" s="4" t="s">
        <v>82</v>
      </c>
      <c r="AK249" s="4" t="s">
        <v>63</v>
      </c>
      <c r="AL249" s="4" t="s">
        <v>102</v>
      </c>
      <c r="AM249" s="4" t="s">
        <v>436</v>
      </c>
      <c r="AN249" s="4" t="s">
        <v>137</v>
      </c>
      <c r="AO249" s="4" t="s">
        <v>63</v>
      </c>
      <c r="AP249" s="4" t="s">
        <v>98</v>
      </c>
      <c r="AQ249" s="4" t="s">
        <v>63</v>
      </c>
      <c r="AR249" s="25">
        <v>9</v>
      </c>
      <c r="AS249" s="4"/>
    </row>
    <row r="250" spans="1:45" x14ac:dyDescent="0.3">
      <c r="A250">
        <v>249</v>
      </c>
      <c r="B250" s="24">
        <v>46253.546354166669</v>
      </c>
      <c r="C250" s="24">
        <v>46253.547060185185</v>
      </c>
      <c r="D250" s="4" t="s">
        <v>45</v>
      </c>
      <c r="E250" s="4"/>
      <c r="F250" s="1"/>
      <c r="G250" s="4" t="s">
        <v>46</v>
      </c>
      <c r="H250" s="4" t="s">
        <v>91</v>
      </c>
      <c r="I250" s="4" t="s">
        <v>101</v>
      </c>
      <c r="J250" s="4" t="s">
        <v>49</v>
      </c>
      <c r="K250" s="4" t="s">
        <v>295</v>
      </c>
      <c r="L250" s="4" t="s">
        <v>51</v>
      </c>
      <c r="M250" s="4" t="s">
        <v>51</v>
      </c>
      <c r="N250" s="4" t="s">
        <v>116</v>
      </c>
      <c r="O250" s="4" t="s">
        <v>53</v>
      </c>
      <c r="P250" s="4" t="s">
        <v>54</v>
      </c>
      <c r="Q250" s="4" t="s">
        <v>55</v>
      </c>
      <c r="R250" s="4" t="s">
        <v>56</v>
      </c>
      <c r="S250" s="4" t="s">
        <v>57</v>
      </c>
      <c r="T250" s="4" t="s">
        <v>93</v>
      </c>
      <c r="U250" s="4" t="s">
        <v>59</v>
      </c>
      <c r="V250" s="4" t="s">
        <v>59</v>
      </c>
      <c r="W250" s="4" t="s">
        <v>59</v>
      </c>
      <c r="X250" s="4" t="s">
        <v>59</v>
      </c>
      <c r="Y250" s="4" t="s">
        <v>79</v>
      </c>
      <c r="Z250" s="4" t="s">
        <v>59</v>
      </c>
      <c r="AA250" s="4" t="s">
        <v>79</v>
      </c>
      <c r="AB250" s="4" t="s">
        <v>59</v>
      </c>
      <c r="AC250" s="4" t="s">
        <v>59</v>
      </c>
      <c r="AD250" s="4" t="s">
        <v>60</v>
      </c>
      <c r="AE250" s="4" t="s">
        <v>94</v>
      </c>
      <c r="AF250" s="4" t="s">
        <v>119</v>
      </c>
      <c r="AG250" s="4" t="s">
        <v>63</v>
      </c>
      <c r="AH250" s="4" t="s">
        <v>81</v>
      </c>
      <c r="AI250" s="4" t="s">
        <v>63</v>
      </c>
      <c r="AJ250" s="4" t="s">
        <v>65</v>
      </c>
      <c r="AK250" s="4" t="s">
        <v>64</v>
      </c>
      <c r="AL250" s="4" t="s">
        <v>120</v>
      </c>
      <c r="AM250" s="4" t="s">
        <v>67</v>
      </c>
      <c r="AN250" s="4" t="s">
        <v>175</v>
      </c>
      <c r="AO250" s="4" t="s">
        <v>64</v>
      </c>
      <c r="AP250" s="4" t="s">
        <v>110</v>
      </c>
      <c r="AQ250" s="4" t="s">
        <v>64</v>
      </c>
      <c r="AR250" s="25">
        <v>10</v>
      </c>
      <c r="AS250" s="4"/>
    </row>
    <row r="251" spans="1:45" x14ac:dyDescent="0.3">
      <c r="A251">
        <v>250</v>
      </c>
      <c r="B251" s="24">
        <v>46253.547083333331</v>
      </c>
      <c r="C251" s="24">
        <v>46253.548182870371</v>
      </c>
      <c r="D251" s="4" t="s">
        <v>45</v>
      </c>
      <c r="E251" s="4"/>
      <c r="F251" s="1"/>
      <c r="G251" s="4" t="s">
        <v>100</v>
      </c>
      <c r="H251" s="4" t="s">
        <v>112</v>
      </c>
      <c r="I251" s="4" t="s">
        <v>133</v>
      </c>
      <c r="J251" s="4" t="s">
        <v>49</v>
      </c>
      <c r="K251" s="4" t="s">
        <v>456</v>
      </c>
      <c r="L251" s="4" t="s">
        <v>146</v>
      </c>
      <c r="M251" s="4" t="s">
        <v>146</v>
      </c>
      <c r="N251" s="4" t="s">
        <v>52</v>
      </c>
      <c r="O251" s="4" t="s">
        <v>53</v>
      </c>
      <c r="P251" s="4" t="s">
        <v>74</v>
      </c>
      <c r="Q251" s="4" t="s">
        <v>75</v>
      </c>
      <c r="R251" s="4" t="s">
        <v>76</v>
      </c>
      <c r="S251" s="4" t="s">
        <v>77</v>
      </c>
      <c r="T251" s="4" t="s">
        <v>58</v>
      </c>
      <c r="U251" s="4" t="s">
        <v>59</v>
      </c>
      <c r="V251" s="4" t="s">
        <v>59</v>
      </c>
      <c r="W251" s="4" t="s">
        <v>59</v>
      </c>
      <c r="X251" s="4" t="s">
        <v>59</v>
      </c>
      <c r="Y251" s="4" t="s">
        <v>59</v>
      </c>
      <c r="Z251" s="4" t="s">
        <v>59</v>
      </c>
      <c r="AA251" s="4" t="s">
        <v>59</v>
      </c>
      <c r="AB251" s="4" t="s">
        <v>59</v>
      </c>
      <c r="AC251" s="4" t="s">
        <v>59</v>
      </c>
      <c r="AD251" s="4" t="s">
        <v>80</v>
      </c>
      <c r="AE251" s="4" t="s">
        <v>61</v>
      </c>
      <c r="AF251" s="4" t="s">
        <v>62</v>
      </c>
      <c r="AG251" s="4" t="s">
        <v>137</v>
      </c>
      <c r="AH251" s="4" t="s">
        <v>137</v>
      </c>
      <c r="AI251" s="4" t="s">
        <v>81</v>
      </c>
      <c r="AJ251" s="4" t="s">
        <v>82</v>
      </c>
      <c r="AK251" s="4" t="s">
        <v>81</v>
      </c>
      <c r="AL251" s="4" t="s">
        <v>66</v>
      </c>
      <c r="AM251" s="4" t="s">
        <v>137</v>
      </c>
      <c r="AN251" s="4" t="s">
        <v>137</v>
      </c>
      <c r="AO251" s="4" t="s">
        <v>137</v>
      </c>
      <c r="AP251" s="4" t="s">
        <v>107</v>
      </c>
      <c r="AQ251" s="4" t="s">
        <v>137</v>
      </c>
      <c r="AR251" s="25">
        <v>10</v>
      </c>
      <c r="AS251" s="4"/>
    </row>
    <row r="252" spans="1:45" x14ac:dyDescent="0.3">
      <c r="A252">
        <v>251</v>
      </c>
      <c r="B252" s="24">
        <v>46253.548217592594</v>
      </c>
      <c r="C252" s="24">
        <v>46253.549212962964</v>
      </c>
      <c r="D252" s="4" t="s">
        <v>45</v>
      </c>
      <c r="E252" s="4"/>
      <c r="F252" s="1"/>
      <c r="G252" s="4" t="s">
        <v>100</v>
      </c>
      <c r="H252" s="4" t="s">
        <v>91</v>
      </c>
      <c r="I252" s="4" t="s">
        <v>113</v>
      </c>
      <c r="J252" s="4" t="s">
        <v>186</v>
      </c>
      <c r="K252" s="4" t="s">
        <v>457</v>
      </c>
      <c r="L252" s="4" t="s">
        <v>51</v>
      </c>
      <c r="M252" s="4" t="s">
        <v>51</v>
      </c>
      <c r="N252" s="4" t="s">
        <v>116</v>
      </c>
      <c r="O252" s="4" t="s">
        <v>53</v>
      </c>
      <c r="P252" s="4" t="s">
        <v>54</v>
      </c>
      <c r="Q252" s="4" t="s">
        <v>75</v>
      </c>
      <c r="R252" s="4" t="s">
        <v>76</v>
      </c>
      <c r="S252" s="4" t="s">
        <v>77</v>
      </c>
      <c r="T252" s="4" t="s">
        <v>93</v>
      </c>
      <c r="U252" s="4" t="s">
        <v>87</v>
      </c>
      <c r="V252" s="4" t="s">
        <v>87</v>
      </c>
      <c r="W252" s="4" t="s">
        <v>87</v>
      </c>
      <c r="X252" s="4" t="s">
        <v>86</v>
      </c>
      <c r="Y252" s="4" t="s">
        <v>86</v>
      </c>
      <c r="Z252" s="4" t="s">
        <v>87</v>
      </c>
      <c r="AA252" s="4" t="s">
        <v>86</v>
      </c>
      <c r="AB252" s="4" t="s">
        <v>86</v>
      </c>
      <c r="AC252" s="4" t="s">
        <v>87</v>
      </c>
      <c r="AD252" s="4" t="s">
        <v>60</v>
      </c>
      <c r="AE252" s="4" t="s">
        <v>94</v>
      </c>
      <c r="AF252" s="4" t="s">
        <v>119</v>
      </c>
      <c r="AG252" s="4" t="s">
        <v>64</v>
      </c>
      <c r="AH252" s="4" t="s">
        <v>64</v>
      </c>
      <c r="AI252" s="4" t="s">
        <v>64</v>
      </c>
      <c r="AJ252" s="4" t="s">
        <v>138</v>
      </c>
      <c r="AK252" s="4" t="s">
        <v>81</v>
      </c>
      <c r="AL252" s="4" t="s">
        <v>102</v>
      </c>
      <c r="AM252" s="4" t="s">
        <v>436</v>
      </c>
      <c r="AN252" s="4" t="s">
        <v>89</v>
      </c>
      <c r="AO252" s="4" t="s">
        <v>63</v>
      </c>
      <c r="AP252" s="4" t="s">
        <v>69</v>
      </c>
      <c r="AQ252" s="4" t="s">
        <v>63</v>
      </c>
      <c r="AR252" s="25">
        <v>10</v>
      </c>
      <c r="AS252" s="4"/>
    </row>
    <row r="253" spans="1:45" x14ac:dyDescent="0.3">
      <c r="A253">
        <v>252</v>
      </c>
      <c r="B253" s="24">
        <v>46253.581099537034</v>
      </c>
      <c r="C253" s="24">
        <v>46253.581921296296</v>
      </c>
      <c r="D253" s="4" t="s">
        <v>45</v>
      </c>
      <c r="E253" s="4"/>
      <c r="F253" s="1"/>
      <c r="G253" s="4" t="s">
        <v>46</v>
      </c>
      <c r="H253" s="4" t="s">
        <v>318</v>
      </c>
      <c r="I253" s="4" t="s">
        <v>101</v>
      </c>
      <c r="J253" s="4" t="s">
        <v>49</v>
      </c>
      <c r="K253" s="4" t="s">
        <v>362</v>
      </c>
      <c r="L253" s="4" t="s">
        <v>73</v>
      </c>
      <c r="M253" s="4" t="s">
        <v>73</v>
      </c>
      <c r="N253" s="4" t="s">
        <v>52</v>
      </c>
      <c r="O253" s="4" t="s">
        <v>53</v>
      </c>
      <c r="P253" s="4" t="s">
        <v>74</v>
      </c>
      <c r="Q253" s="4" t="s">
        <v>331</v>
      </c>
      <c r="R253" s="4" t="s">
        <v>76</v>
      </c>
      <c r="S253" s="4" t="s">
        <v>106</v>
      </c>
      <c r="T253" s="4" t="s">
        <v>78</v>
      </c>
      <c r="U253" s="4" t="s">
        <v>79</v>
      </c>
      <c r="V253" s="4" t="s">
        <v>79</v>
      </c>
      <c r="W253" s="4" t="s">
        <v>79</v>
      </c>
      <c r="X253" s="4" t="s">
        <v>79</v>
      </c>
      <c r="Y253" s="4" t="s">
        <v>79</v>
      </c>
      <c r="Z253" s="4" t="s">
        <v>79</v>
      </c>
      <c r="AA253" s="4" t="s">
        <v>79</v>
      </c>
      <c r="AB253" s="4" t="s">
        <v>79</v>
      </c>
      <c r="AC253" s="4" t="s">
        <v>79</v>
      </c>
      <c r="AD253" s="4" t="s">
        <v>80</v>
      </c>
      <c r="AE253" s="4" t="s">
        <v>61</v>
      </c>
      <c r="AF253" s="4" t="s">
        <v>147</v>
      </c>
      <c r="AG253" s="4" t="s">
        <v>64</v>
      </c>
      <c r="AH253" s="4" t="s">
        <v>63</v>
      </c>
      <c r="AI253" s="4" t="s">
        <v>63</v>
      </c>
      <c r="AJ253" s="4" t="s">
        <v>82</v>
      </c>
      <c r="AK253" s="4" t="s">
        <v>63</v>
      </c>
      <c r="AL253" s="4" t="s">
        <v>102</v>
      </c>
      <c r="AM253" s="4" t="s">
        <v>121</v>
      </c>
      <c r="AN253" s="4" t="s">
        <v>89</v>
      </c>
      <c r="AO253" s="4" t="s">
        <v>63</v>
      </c>
      <c r="AP253" s="4" t="s">
        <v>69</v>
      </c>
      <c r="AQ253" s="4" t="s">
        <v>63</v>
      </c>
      <c r="AR253" s="25">
        <v>6</v>
      </c>
      <c r="AS253" s="4"/>
    </row>
    <row r="254" spans="1:45" x14ac:dyDescent="0.3">
      <c r="A254">
        <v>253</v>
      </c>
      <c r="B254" s="24">
        <v>46253.581944444442</v>
      </c>
      <c r="C254" s="24">
        <v>46253.582615740743</v>
      </c>
      <c r="D254" s="4" t="s">
        <v>45</v>
      </c>
      <c r="E254" s="4"/>
      <c r="F254" s="1"/>
      <c r="G254" s="4" t="s">
        <v>46</v>
      </c>
      <c r="H254" s="4" t="s">
        <v>47</v>
      </c>
      <c r="I254" s="4" t="s">
        <v>48</v>
      </c>
      <c r="J254" s="4" t="s">
        <v>125</v>
      </c>
      <c r="K254" s="4" t="s">
        <v>215</v>
      </c>
      <c r="L254" s="4" t="s">
        <v>146</v>
      </c>
      <c r="M254" s="4" t="s">
        <v>146</v>
      </c>
      <c r="N254" s="4" t="s">
        <v>52</v>
      </c>
      <c r="O254" s="4" t="s">
        <v>228</v>
      </c>
      <c r="P254" s="4" t="s">
        <v>74</v>
      </c>
      <c r="Q254" s="4" t="s">
        <v>75</v>
      </c>
      <c r="R254" s="4" t="s">
        <v>76</v>
      </c>
      <c r="S254" s="4" t="s">
        <v>77</v>
      </c>
      <c r="T254" s="4" t="s">
        <v>58</v>
      </c>
      <c r="U254" s="4" t="s">
        <v>59</v>
      </c>
      <c r="V254" s="4" t="s">
        <v>79</v>
      </c>
      <c r="W254" s="4" t="s">
        <v>59</v>
      </c>
      <c r="X254" s="4" t="s">
        <v>79</v>
      </c>
      <c r="Y254" s="4" t="s">
        <v>59</v>
      </c>
      <c r="Z254" s="4" t="s">
        <v>79</v>
      </c>
      <c r="AA254" s="4" t="s">
        <v>59</v>
      </c>
      <c r="AB254" s="4" t="s">
        <v>79</v>
      </c>
      <c r="AC254" s="4" t="s">
        <v>59</v>
      </c>
      <c r="AD254" s="4" t="s">
        <v>60</v>
      </c>
      <c r="AE254" s="4" t="s">
        <v>94</v>
      </c>
      <c r="AF254" s="4" t="s">
        <v>119</v>
      </c>
      <c r="AG254" s="4" t="s">
        <v>64</v>
      </c>
      <c r="AH254" s="4" t="s">
        <v>64</v>
      </c>
      <c r="AI254" s="4" t="s">
        <v>63</v>
      </c>
      <c r="AJ254" s="4" t="s">
        <v>82</v>
      </c>
      <c r="AK254" s="4" t="s">
        <v>81</v>
      </c>
      <c r="AL254" s="4" t="s">
        <v>137</v>
      </c>
      <c r="AM254" s="4" t="s">
        <v>436</v>
      </c>
      <c r="AN254" s="4" t="s">
        <v>137</v>
      </c>
      <c r="AO254" s="4" t="s">
        <v>63</v>
      </c>
      <c r="AP254" s="4" t="s">
        <v>69</v>
      </c>
      <c r="AQ254" s="4" t="s">
        <v>63</v>
      </c>
      <c r="AR254" s="25">
        <v>7</v>
      </c>
      <c r="AS254" s="4"/>
    </row>
    <row r="255" spans="1:45" x14ac:dyDescent="0.3">
      <c r="A255">
        <v>254</v>
      </c>
      <c r="B255" s="24">
        <v>46253.582650462966</v>
      </c>
      <c r="C255" s="24">
        <v>46253.58353009259</v>
      </c>
      <c r="D255" s="4" t="s">
        <v>45</v>
      </c>
      <c r="E255" s="4"/>
      <c r="F255" s="1"/>
      <c r="G255" s="4" t="s">
        <v>46</v>
      </c>
      <c r="H255" s="4" t="s">
        <v>112</v>
      </c>
      <c r="I255" s="4" t="s">
        <v>238</v>
      </c>
      <c r="J255" s="4" t="s">
        <v>104</v>
      </c>
      <c r="K255" s="4" t="s">
        <v>451</v>
      </c>
      <c r="L255" s="4" t="s">
        <v>146</v>
      </c>
      <c r="M255" s="4" t="s">
        <v>146</v>
      </c>
      <c r="N255" s="4" t="s">
        <v>199</v>
      </c>
      <c r="O255" s="4" t="s">
        <v>449</v>
      </c>
      <c r="P255" s="4" t="s">
        <v>74</v>
      </c>
      <c r="Q255" s="4" t="s">
        <v>75</v>
      </c>
      <c r="R255" s="4" t="s">
        <v>76</v>
      </c>
      <c r="S255" s="4" t="s">
        <v>77</v>
      </c>
      <c r="T255" s="4" t="s">
        <v>78</v>
      </c>
      <c r="U255" s="4" t="s">
        <v>79</v>
      </c>
      <c r="V255" s="4" t="s">
        <v>79</v>
      </c>
      <c r="W255" s="4" t="s">
        <v>79</v>
      </c>
      <c r="X255" s="4" t="s">
        <v>79</v>
      </c>
      <c r="Y255" s="4" t="s">
        <v>79</v>
      </c>
      <c r="Z255" s="4" t="s">
        <v>79</v>
      </c>
      <c r="AA255" s="4" t="s">
        <v>79</v>
      </c>
      <c r="AB255" s="4" t="s">
        <v>79</v>
      </c>
      <c r="AC255" s="4" t="s">
        <v>79</v>
      </c>
      <c r="AD255" s="4" t="s">
        <v>98</v>
      </c>
      <c r="AE255" s="4" t="s">
        <v>88</v>
      </c>
      <c r="AF255" s="4" t="s">
        <v>62</v>
      </c>
      <c r="AG255" s="4" t="s">
        <v>81</v>
      </c>
      <c r="AH255" s="4" t="s">
        <v>81</v>
      </c>
      <c r="AI255" s="4" t="s">
        <v>81</v>
      </c>
      <c r="AJ255" s="4" t="s">
        <v>82</v>
      </c>
      <c r="AK255" s="4" t="s">
        <v>81</v>
      </c>
      <c r="AL255" s="4" t="s">
        <v>137</v>
      </c>
      <c r="AM255" s="4" t="s">
        <v>137</v>
      </c>
      <c r="AN255" s="4" t="s">
        <v>137</v>
      </c>
      <c r="AO255" s="4" t="s">
        <v>81</v>
      </c>
      <c r="AP255" s="4" t="s">
        <v>107</v>
      </c>
      <c r="AQ255" s="4" t="s">
        <v>137</v>
      </c>
      <c r="AR255" s="25">
        <v>5</v>
      </c>
      <c r="AS255" s="4"/>
    </row>
    <row r="256" spans="1:45" x14ac:dyDescent="0.3">
      <c r="A256">
        <v>255</v>
      </c>
      <c r="B256" s="24">
        <v>46253.583553240744</v>
      </c>
      <c r="C256" s="24">
        <v>46253.584421296298</v>
      </c>
      <c r="D256" s="4" t="s">
        <v>45</v>
      </c>
      <c r="E256" s="4"/>
      <c r="F256" s="1"/>
      <c r="G256" s="4" t="s">
        <v>46</v>
      </c>
      <c r="H256" s="4" t="s">
        <v>47</v>
      </c>
      <c r="I256" s="4" t="s">
        <v>84</v>
      </c>
      <c r="J256" s="4" t="s">
        <v>162</v>
      </c>
      <c r="K256" s="4" t="s">
        <v>458</v>
      </c>
      <c r="L256" s="4" t="s">
        <v>73</v>
      </c>
      <c r="M256" s="4" t="s">
        <v>73</v>
      </c>
      <c r="N256" s="4" t="s">
        <v>52</v>
      </c>
      <c r="O256" s="4" t="s">
        <v>228</v>
      </c>
      <c r="P256" s="4" t="s">
        <v>74</v>
      </c>
      <c r="Q256" s="4" t="s">
        <v>75</v>
      </c>
      <c r="R256" s="4" t="s">
        <v>76</v>
      </c>
      <c r="S256" s="4" t="s">
        <v>77</v>
      </c>
      <c r="T256" s="4" t="s">
        <v>58</v>
      </c>
      <c r="U256" s="4" t="s">
        <v>79</v>
      </c>
      <c r="V256" s="4" t="s">
        <v>79</v>
      </c>
      <c r="W256" s="4" t="s">
        <v>79</v>
      </c>
      <c r="X256" s="4" t="s">
        <v>59</v>
      </c>
      <c r="Y256" s="4" t="s">
        <v>59</v>
      </c>
      <c r="Z256" s="4" t="s">
        <v>59</v>
      </c>
      <c r="AA256" s="4" t="s">
        <v>79</v>
      </c>
      <c r="AB256" s="4" t="s">
        <v>79</v>
      </c>
      <c r="AC256" s="4" t="s">
        <v>79</v>
      </c>
      <c r="AD256" s="4" t="s">
        <v>80</v>
      </c>
      <c r="AE256" s="4" t="s">
        <v>61</v>
      </c>
      <c r="AF256" s="4" t="s">
        <v>62</v>
      </c>
      <c r="AG256" s="4" t="s">
        <v>63</v>
      </c>
      <c r="AH256" s="4" t="s">
        <v>63</v>
      </c>
      <c r="AI256" s="4" t="s">
        <v>63</v>
      </c>
      <c r="AJ256" s="4" t="s">
        <v>82</v>
      </c>
      <c r="AK256" s="4" t="s">
        <v>63</v>
      </c>
      <c r="AL256" s="4" t="s">
        <v>102</v>
      </c>
      <c r="AM256" s="4" t="s">
        <v>67</v>
      </c>
      <c r="AN256" s="4" t="s">
        <v>89</v>
      </c>
      <c r="AO256" s="4" t="s">
        <v>63</v>
      </c>
      <c r="AP256" s="4" t="s">
        <v>69</v>
      </c>
      <c r="AQ256" s="4" t="s">
        <v>63</v>
      </c>
      <c r="AR256" s="25">
        <v>9</v>
      </c>
      <c r="AS256" s="4"/>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AFDD-5847-44D6-923C-74C22F674322}">
  <dimension ref="A1:J41"/>
  <sheetViews>
    <sheetView workbookViewId="0">
      <selection activeCell="C21" sqref="C21"/>
    </sheetView>
  </sheetViews>
  <sheetFormatPr defaultRowHeight="14.4" x14ac:dyDescent="0.3"/>
  <cols>
    <col min="1" max="10" width="13.33203125" customWidth="1"/>
  </cols>
  <sheetData>
    <row r="1" spans="1:10" ht="28.05" customHeight="1" x14ac:dyDescent="0.3">
      <c r="A1" s="53" t="s">
        <v>1113</v>
      </c>
      <c r="B1" s="53"/>
      <c r="C1" s="53"/>
      <c r="D1" s="53"/>
      <c r="E1" s="53"/>
      <c r="F1" s="53"/>
      <c r="G1" s="53"/>
      <c r="H1" s="53"/>
      <c r="I1" s="53"/>
      <c r="J1" s="53"/>
    </row>
    <row r="2" spans="1:10" ht="28.05" customHeight="1" x14ac:dyDescent="0.3">
      <c r="A2" s="53"/>
      <c r="B2" s="53"/>
      <c r="C2" s="53"/>
      <c r="D2" s="53"/>
      <c r="E2" s="53"/>
      <c r="F2" s="53"/>
      <c r="G2" s="53"/>
      <c r="H2" s="53"/>
      <c r="I2" s="53"/>
      <c r="J2" s="53"/>
    </row>
    <row r="3" spans="1:10" x14ac:dyDescent="0.3">
      <c r="A3" s="54" t="s">
        <v>1114</v>
      </c>
      <c r="B3" s="54"/>
      <c r="C3" s="54"/>
      <c r="D3" s="54"/>
      <c r="E3" s="54"/>
      <c r="F3" s="54"/>
      <c r="G3" s="54"/>
      <c r="H3" s="54"/>
      <c r="I3" s="54"/>
      <c r="J3" s="54"/>
    </row>
    <row r="4" spans="1:10" x14ac:dyDescent="0.3">
      <c r="A4" s="2"/>
      <c r="B4" s="2"/>
      <c r="C4" s="2"/>
      <c r="D4" s="2"/>
      <c r="E4" s="2"/>
      <c r="F4" s="2"/>
      <c r="G4" s="2"/>
      <c r="H4" s="2"/>
      <c r="I4" s="2"/>
      <c r="J4" s="2"/>
    </row>
    <row r="5" spans="1:10" x14ac:dyDescent="0.3">
      <c r="A5" s="55" t="s">
        <v>1142</v>
      </c>
      <c r="B5" s="55"/>
      <c r="C5" s="55"/>
      <c r="D5" s="56" t="s">
        <v>1143</v>
      </c>
      <c r="E5" s="56"/>
      <c r="F5" s="56"/>
      <c r="G5" s="57" t="s">
        <v>1144</v>
      </c>
      <c r="H5" s="57"/>
      <c r="I5" s="57"/>
      <c r="J5" s="57"/>
    </row>
    <row r="6" spans="1:10" ht="24" customHeight="1" x14ac:dyDescent="0.3">
      <c r="A6" s="62" t="str">
        <f>TEXT(AVERAGE('SKM Layanan'!E6:E14),"0.00")&amp;" / 4  →  "&amp;TEXT('SKM Layanan'!F17,"0.00")&amp;" / 100"</f>
        <v>3.32 / 4  →  83.02 / 100</v>
      </c>
      <c r="B6" s="63"/>
      <c r="C6" s="63"/>
      <c r="D6" s="62" t="str">
        <f>TEXT(AVERAGE(Antikorupsi!E6:E14),"0.00")&amp;" / 4  →  "&amp;TEXT(Antikorupsi!F17,"0.00")&amp;" / 100"</f>
        <v>3.30 / 4  →  82.58 / 100</v>
      </c>
      <c r="E6" s="63"/>
      <c r="F6" s="63"/>
      <c r="G6" s="62" t="str">
        <f>TEXT(Pemahaman!F20,"0.00")&amp;" / 100"</f>
        <v>73.74 / 100</v>
      </c>
      <c r="H6" s="63"/>
      <c r="I6" s="63"/>
      <c r="J6" s="64"/>
    </row>
    <row r="7" spans="1:10" ht="24" customHeight="1" x14ac:dyDescent="0.3">
      <c r="A7" s="65"/>
      <c r="B7" s="66"/>
      <c r="C7" s="66"/>
      <c r="D7" s="65"/>
      <c r="E7" s="66"/>
      <c r="F7" s="66"/>
      <c r="G7" s="65"/>
      <c r="H7" s="66"/>
      <c r="I7" s="66"/>
      <c r="J7" s="67"/>
    </row>
    <row r="8" spans="1:10" ht="24" customHeight="1" x14ac:dyDescent="0.3">
      <c r="A8" s="68"/>
      <c r="B8" s="69"/>
      <c r="C8" s="69"/>
      <c r="D8" s="68"/>
      <c r="E8" s="69"/>
      <c r="F8" s="69"/>
      <c r="G8" s="68"/>
      <c r="H8" s="69"/>
      <c r="I8" s="69"/>
      <c r="J8" s="70"/>
    </row>
    <row r="9" spans="1:10" ht="28.05" customHeight="1" x14ac:dyDescent="0.3">
      <c r="A9" s="39" t="s">
        <v>1115</v>
      </c>
      <c r="B9" s="39"/>
      <c r="C9" s="39"/>
      <c r="D9" s="39"/>
      <c r="E9" s="39"/>
      <c r="F9" s="39"/>
      <c r="G9" s="39"/>
      <c r="H9" s="39"/>
      <c r="I9" s="39"/>
      <c r="J9" s="39"/>
    </row>
    <row r="10" spans="1:10" ht="28.05" customHeight="1" x14ac:dyDescent="0.3">
      <c r="A10" s="40"/>
      <c r="B10" s="40"/>
      <c r="C10" s="40"/>
      <c r="D10" s="40"/>
      <c r="E10" s="40"/>
      <c r="F10" s="40"/>
      <c r="G10" s="40"/>
      <c r="H10" s="40"/>
      <c r="I10" s="40"/>
      <c r="J10" s="40"/>
    </row>
    <row r="11" spans="1:10" x14ac:dyDescent="0.3">
      <c r="A11" s="71" t="s">
        <v>1145</v>
      </c>
      <c r="B11" s="71"/>
      <c r="C11" s="71"/>
      <c r="D11" s="71"/>
      <c r="E11" s="71"/>
      <c r="F11" s="71"/>
      <c r="G11" s="71"/>
      <c r="H11" s="71"/>
      <c r="I11" s="71"/>
      <c r="J11" s="71"/>
    </row>
    <row r="12" spans="1:10" ht="15.6" x14ac:dyDescent="0.3">
      <c r="A12" s="58" t="s">
        <v>1116</v>
      </c>
      <c r="B12" s="58"/>
      <c r="C12" s="58"/>
      <c r="D12" s="58"/>
      <c r="E12" s="58"/>
      <c r="F12" s="58"/>
      <c r="G12" s="58"/>
      <c r="H12" s="58"/>
      <c r="I12" s="58"/>
      <c r="J12" s="58"/>
    </row>
    <row r="13" spans="1:10" x14ac:dyDescent="0.3">
      <c r="A13" s="72" t="s">
        <v>535</v>
      </c>
      <c r="B13" s="72" t="s">
        <v>1146</v>
      </c>
      <c r="C13" s="72" t="s">
        <v>797</v>
      </c>
      <c r="D13" s="2"/>
      <c r="E13" s="2"/>
      <c r="F13" s="2"/>
      <c r="G13" s="2"/>
      <c r="H13" s="2"/>
      <c r="I13" s="2"/>
      <c r="J13" s="2"/>
    </row>
    <row r="14" spans="1:10" x14ac:dyDescent="0.3">
      <c r="A14" s="14" t="s">
        <v>1117</v>
      </c>
      <c r="B14" s="15">
        <f>AVERAGE('SKM Layanan'!E6:E14)</f>
        <v>3.3206971677559909</v>
      </c>
      <c r="C14" s="15">
        <f>'SKM Layanan'!F17</f>
        <v>83.017429193899773</v>
      </c>
      <c r="D14" s="2"/>
      <c r="E14" s="2"/>
      <c r="F14" s="2"/>
      <c r="G14" s="2"/>
      <c r="H14" s="2"/>
      <c r="I14" s="2"/>
      <c r="J14" s="2"/>
    </row>
    <row r="15" spans="1:10" x14ac:dyDescent="0.3">
      <c r="A15" s="14" t="s">
        <v>466</v>
      </c>
      <c r="B15" s="15">
        <f>AVERAGE(Antikorupsi!E6:E14)</f>
        <v>3.3032679738562085</v>
      </c>
      <c r="C15" s="15">
        <f>Antikorupsi!F17</f>
        <v>82.581699346405216</v>
      </c>
      <c r="D15" s="2"/>
      <c r="E15" s="2"/>
      <c r="F15" s="2"/>
      <c r="G15" s="2"/>
      <c r="H15" s="2"/>
      <c r="I15" s="2"/>
      <c r="J15" s="2"/>
    </row>
    <row r="16" spans="1:10" x14ac:dyDescent="0.3">
      <c r="A16" s="14" t="s">
        <v>1118</v>
      </c>
      <c r="B16" s="15">
        <f>Pemahaman!F20/25</f>
        <v>2.9496732026143793</v>
      </c>
      <c r="C16" s="15">
        <f>Pemahaman!F20</f>
        <v>73.74183006535948</v>
      </c>
      <c r="D16" s="2"/>
      <c r="E16" s="2"/>
      <c r="F16" s="2"/>
      <c r="G16" s="2"/>
      <c r="H16" s="2"/>
      <c r="I16" s="2"/>
      <c r="J16" s="2"/>
    </row>
    <row r="17" spans="1:10" x14ac:dyDescent="0.3">
      <c r="A17" s="2"/>
      <c r="B17" s="2"/>
      <c r="C17" s="2"/>
      <c r="D17" s="2"/>
      <c r="E17" s="2"/>
      <c r="F17" s="2"/>
      <c r="G17" s="2"/>
      <c r="H17" s="2"/>
      <c r="I17" s="2"/>
      <c r="J17" s="2"/>
    </row>
    <row r="18" spans="1:10" x14ac:dyDescent="0.3">
      <c r="A18" s="2"/>
      <c r="B18" s="2"/>
      <c r="C18" s="2"/>
      <c r="D18" s="2"/>
      <c r="E18" s="2"/>
      <c r="F18" s="2"/>
      <c r="G18" s="2"/>
      <c r="H18" s="2"/>
      <c r="I18" s="2"/>
      <c r="J18" s="2"/>
    </row>
    <row r="19" spans="1:10" x14ac:dyDescent="0.3">
      <c r="A19" s="2"/>
      <c r="B19" s="2"/>
      <c r="C19" s="2"/>
      <c r="D19" s="2"/>
      <c r="E19" s="2"/>
      <c r="F19" s="2"/>
      <c r="G19" s="2"/>
      <c r="H19" s="2"/>
      <c r="I19" s="2"/>
      <c r="J19" s="2"/>
    </row>
    <row r="20" spans="1:10" x14ac:dyDescent="0.3">
      <c r="A20" s="2"/>
      <c r="B20" s="2"/>
      <c r="C20" s="2"/>
      <c r="D20" s="2"/>
      <c r="E20" s="2"/>
      <c r="F20" s="2"/>
      <c r="G20" s="2"/>
      <c r="H20" s="2"/>
      <c r="I20" s="2"/>
      <c r="J20" s="2"/>
    </row>
    <row r="21" spans="1:10" x14ac:dyDescent="0.3">
      <c r="A21" s="2"/>
      <c r="B21" s="2"/>
      <c r="C21" s="2"/>
      <c r="D21" s="2"/>
      <c r="E21" s="2"/>
      <c r="F21" s="2"/>
      <c r="G21" s="2"/>
      <c r="H21" s="2"/>
      <c r="I21" s="2"/>
      <c r="J21" s="2"/>
    </row>
    <row r="22" spans="1:10" x14ac:dyDescent="0.3">
      <c r="A22" s="2"/>
      <c r="B22" s="2"/>
      <c r="C22" s="2"/>
      <c r="D22" s="2"/>
      <c r="E22" s="2"/>
      <c r="F22" s="2"/>
      <c r="G22" s="2"/>
      <c r="H22" s="2"/>
      <c r="I22" s="2"/>
      <c r="J22" s="2"/>
    </row>
    <row r="23" spans="1:10" x14ac:dyDescent="0.3">
      <c r="A23" s="2"/>
      <c r="B23" s="2"/>
      <c r="C23" s="2"/>
      <c r="D23" s="2"/>
      <c r="E23" s="2"/>
      <c r="F23" s="2"/>
      <c r="G23" s="2"/>
      <c r="H23" s="2"/>
      <c r="I23" s="2"/>
      <c r="J23" s="2"/>
    </row>
    <row r="24" spans="1:10" x14ac:dyDescent="0.3">
      <c r="A24" s="2"/>
      <c r="B24" s="2"/>
      <c r="C24" s="2"/>
      <c r="D24" s="2"/>
      <c r="E24" s="2"/>
      <c r="F24" s="2"/>
      <c r="G24" s="2"/>
      <c r="H24" s="2"/>
      <c r="I24" s="2"/>
      <c r="J24" s="2"/>
    </row>
    <row r="25" spans="1:10" x14ac:dyDescent="0.3">
      <c r="A25" s="2"/>
      <c r="B25" s="2"/>
      <c r="C25" s="2"/>
      <c r="D25" s="2"/>
      <c r="E25" s="2"/>
      <c r="F25" s="2"/>
      <c r="G25" s="2"/>
      <c r="H25" s="2"/>
      <c r="I25" s="2"/>
      <c r="J25" s="2"/>
    </row>
    <row r="26" spans="1:10" x14ac:dyDescent="0.3">
      <c r="A26" s="2"/>
      <c r="B26" s="2"/>
      <c r="C26" s="2"/>
      <c r="D26" s="2"/>
      <c r="E26" s="2"/>
      <c r="F26" s="2"/>
      <c r="G26" s="2"/>
      <c r="H26" s="2"/>
      <c r="I26" s="2"/>
      <c r="J26" s="2"/>
    </row>
    <row r="27" spans="1:10" ht="15.6" x14ac:dyDescent="0.3">
      <c r="A27" s="58" t="s">
        <v>1119</v>
      </c>
      <c r="B27" s="58"/>
      <c r="C27" s="58"/>
      <c r="D27" s="58"/>
      <c r="E27" s="58"/>
      <c r="F27" s="58"/>
      <c r="G27" s="58"/>
      <c r="H27" s="58"/>
      <c r="I27" s="58"/>
      <c r="J27" s="58"/>
    </row>
    <row r="28" spans="1:10" x14ac:dyDescent="0.3">
      <c r="A28" s="59" t="s">
        <v>1120</v>
      </c>
      <c r="B28" s="59"/>
      <c r="C28" s="59"/>
      <c r="D28" s="57" t="s">
        <v>1122</v>
      </c>
      <c r="E28" s="57"/>
      <c r="F28" s="57"/>
      <c r="G28" s="60" t="s">
        <v>1124</v>
      </c>
      <c r="H28" s="60"/>
      <c r="I28" s="60"/>
      <c r="J28" s="60"/>
    </row>
    <row r="29" spans="1:10" ht="28.95" customHeight="1" x14ac:dyDescent="0.3">
      <c r="A29" s="44" t="s">
        <v>1121</v>
      </c>
      <c r="B29" s="41"/>
      <c r="C29" s="41"/>
      <c r="D29" s="44" t="s">
        <v>1123</v>
      </c>
      <c r="E29" s="41"/>
      <c r="F29" s="41"/>
      <c r="G29" s="44" t="s">
        <v>1125</v>
      </c>
      <c r="H29" s="41"/>
      <c r="I29" s="41"/>
      <c r="J29" s="47"/>
    </row>
    <row r="30" spans="1:10" ht="28.95" customHeight="1" x14ac:dyDescent="0.3">
      <c r="A30" s="45"/>
      <c r="B30" s="42"/>
      <c r="C30" s="42"/>
      <c r="D30" s="45"/>
      <c r="E30" s="42"/>
      <c r="F30" s="42"/>
      <c r="G30" s="45"/>
      <c r="H30" s="42"/>
      <c r="I30" s="42"/>
      <c r="J30" s="48"/>
    </row>
    <row r="31" spans="1:10" ht="28.95" customHeight="1" x14ac:dyDescent="0.3">
      <c r="A31" s="46"/>
      <c r="B31" s="43"/>
      <c r="C31" s="43"/>
      <c r="D31" s="46"/>
      <c r="E31" s="43"/>
      <c r="F31" s="43"/>
      <c r="G31" s="46"/>
      <c r="H31" s="43"/>
      <c r="I31" s="43"/>
      <c r="J31" s="49"/>
    </row>
    <row r="32" spans="1:10" x14ac:dyDescent="0.3">
      <c r="A32" s="2"/>
      <c r="B32" s="2"/>
      <c r="C32" s="2"/>
      <c r="D32" s="2"/>
      <c r="E32" s="2"/>
      <c r="F32" s="2"/>
      <c r="G32" s="2"/>
      <c r="H32" s="2"/>
      <c r="I32" s="2"/>
      <c r="J32" s="2"/>
    </row>
    <row r="33" spans="1:10" ht="15.6" x14ac:dyDescent="0.3">
      <c r="A33" s="58" t="s">
        <v>1126</v>
      </c>
      <c r="B33" s="58"/>
      <c r="C33" s="58"/>
      <c r="D33" s="58"/>
      <c r="E33" s="58"/>
      <c r="F33" s="58"/>
      <c r="G33" s="58"/>
      <c r="H33" s="58"/>
      <c r="I33" s="58"/>
      <c r="J33" s="58"/>
    </row>
    <row r="34" spans="1:10" ht="57.6" x14ac:dyDescent="0.3">
      <c r="A34" s="51" t="s">
        <v>1127</v>
      </c>
      <c r="B34" s="50" t="s">
        <v>1128</v>
      </c>
      <c r="C34" s="51" t="s">
        <v>1127</v>
      </c>
      <c r="D34" s="50" t="s">
        <v>1129</v>
      </c>
      <c r="E34" s="51" t="s">
        <v>1127</v>
      </c>
      <c r="F34" s="50" t="s">
        <v>1130</v>
      </c>
      <c r="G34" s="51" t="s">
        <v>1127</v>
      </c>
      <c r="H34" s="50" t="s">
        <v>1131</v>
      </c>
      <c r="I34" s="50"/>
      <c r="J34" s="50"/>
    </row>
    <row r="35" spans="1:10" ht="57.6" x14ac:dyDescent="0.3">
      <c r="A35" s="51" t="s">
        <v>1127</v>
      </c>
      <c r="B35" s="50" t="s">
        <v>1132</v>
      </c>
      <c r="C35" s="51" t="s">
        <v>1127</v>
      </c>
      <c r="D35" s="50" t="s">
        <v>1133</v>
      </c>
      <c r="E35" s="51" t="s">
        <v>1127</v>
      </c>
      <c r="F35" s="50" t="s">
        <v>1134</v>
      </c>
      <c r="G35" s="51" t="s">
        <v>1127</v>
      </c>
      <c r="H35" s="50" t="s">
        <v>1135</v>
      </c>
      <c r="I35" s="50"/>
      <c r="J35" s="50"/>
    </row>
    <row r="36" spans="1:10" ht="57.6" x14ac:dyDescent="0.3">
      <c r="A36" s="51" t="s">
        <v>1127</v>
      </c>
      <c r="B36" s="50" t="s">
        <v>1136</v>
      </c>
      <c r="C36" s="51" t="s">
        <v>1127</v>
      </c>
      <c r="D36" s="50" t="s">
        <v>1137</v>
      </c>
      <c r="E36" s="51" t="s">
        <v>1127</v>
      </c>
      <c r="F36" s="50" t="s">
        <v>1138</v>
      </c>
      <c r="G36" s="51" t="s">
        <v>1127</v>
      </c>
      <c r="H36" s="50" t="s">
        <v>1139</v>
      </c>
      <c r="I36" s="50"/>
      <c r="J36" s="50"/>
    </row>
    <row r="37" spans="1:10" x14ac:dyDescent="0.3">
      <c r="A37" s="2"/>
      <c r="B37" s="2"/>
      <c r="C37" s="2"/>
      <c r="D37" s="2"/>
      <c r="E37" s="2"/>
      <c r="F37" s="2"/>
      <c r="G37" s="2"/>
      <c r="H37" s="2"/>
      <c r="I37" s="2"/>
      <c r="J37" s="2"/>
    </row>
    <row r="38" spans="1:10" ht="25.05" customHeight="1" x14ac:dyDescent="0.3">
      <c r="A38" s="52" t="s">
        <v>1140</v>
      </c>
      <c r="B38" s="52"/>
      <c r="C38" s="52"/>
      <c r="D38" s="52"/>
      <c r="E38" s="52"/>
      <c r="F38" s="52"/>
      <c r="G38" s="52"/>
      <c r="H38" s="52"/>
      <c r="I38" s="52"/>
      <c r="J38" s="52"/>
    </row>
    <row r="39" spans="1:10" ht="25.05" customHeight="1" x14ac:dyDescent="0.3">
      <c r="A39" s="52"/>
      <c r="B39" s="52"/>
      <c r="C39" s="52"/>
      <c r="D39" s="52"/>
      <c r="E39" s="52"/>
      <c r="F39" s="52"/>
      <c r="G39" s="52"/>
      <c r="H39" s="52"/>
      <c r="I39" s="52"/>
      <c r="J39" s="52"/>
    </row>
    <row r="40" spans="1:10" ht="25.05" customHeight="1" x14ac:dyDescent="0.3">
      <c r="A40" s="52"/>
      <c r="B40" s="52"/>
      <c r="C40" s="52"/>
      <c r="D40" s="52"/>
      <c r="E40" s="52"/>
      <c r="F40" s="52"/>
      <c r="G40" s="52"/>
      <c r="H40" s="52"/>
      <c r="I40" s="52"/>
      <c r="J40" s="52"/>
    </row>
    <row r="41" spans="1:10" x14ac:dyDescent="0.3">
      <c r="A41" s="61" t="s">
        <v>1141</v>
      </c>
      <c r="B41" s="61"/>
      <c r="C41" s="61"/>
      <c r="D41" s="61"/>
      <c r="E41" s="61"/>
      <c r="F41" s="61"/>
      <c r="G41" s="61"/>
      <c r="H41" s="61"/>
      <c r="I41" s="61"/>
      <c r="J41" s="61"/>
    </row>
  </sheetData>
  <mergeCells count="21">
    <mergeCell ref="A33:J33"/>
    <mergeCell ref="A38:J40"/>
    <mergeCell ref="A41:J41"/>
    <mergeCell ref="A11:J11"/>
    <mergeCell ref="A9:J10"/>
    <mergeCell ref="A12:J12"/>
    <mergeCell ref="A27:J27"/>
    <mergeCell ref="A28:C28"/>
    <mergeCell ref="A29:C31"/>
    <mergeCell ref="D28:F28"/>
    <mergeCell ref="D29:F31"/>
    <mergeCell ref="G28:J28"/>
    <mergeCell ref="G29:J31"/>
    <mergeCell ref="A1:J2"/>
    <mergeCell ref="A3:J3"/>
    <mergeCell ref="A5:C5"/>
    <mergeCell ref="D5:F5"/>
    <mergeCell ref="G5:J5"/>
    <mergeCell ref="A6:C8"/>
    <mergeCell ref="D6:F8"/>
    <mergeCell ref="G6:J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0D72-4214-4FB2-9932-339C0504AA71}">
  <dimension ref="A1:J38"/>
  <sheetViews>
    <sheetView zoomScale="85" zoomScaleNormal="85" workbookViewId="0">
      <selection activeCell="Q6" sqref="Q6"/>
    </sheetView>
  </sheetViews>
  <sheetFormatPr defaultRowHeight="14.4" x14ac:dyDescent="0.3"/>
  <sheetData>
    <row r="1" spans="1:10" ht="21" x14ac:dyDescent="0.4">
      <c r="A1" s="37" t="s">
        <v>1044</v>
      </c>
      <c r="B1" s="37"/>
      <c r="C1" s="37"/>
      <c r="D1" s="37"/>
      <c r="E1" s="37"/>
      <c r="F1" s="37"/>
      <c r="G1" s="37"/>
      <c r="H1" s="37"/>
      <c r="I1" s="37"/>
      <c r="J1" s="37"/>
    </row>
    <row r="2" spans="1:10" x14ac:dyDescent="0.3">
      <c r="A2" s="10" t="s">
        <v>1066</v>
      </c>
      <c r="B2" s="10"/>
      <c r="C2" s="10"/>
      <c r="D2" s="10"/>
      <c r="E2" s="10"/>
      <c r="F2" s="10"/>
      <c r="G2" s="10"/>
      <c r="H2" s="10"/>
      <c r="I2" s="10"/>
      <c r="J2" s="10"/>
    </row>
    <row r="3" spans="1:10" x14ac:dyDescent="0.3">
      <c r="A3" s="2"/>
      <c r="B3" s="2"/>
      <c r="C3" s="2"/>
      <c r="D3" s="2"/>
      <c r="E3" s="2"/>
      <c r="F3" s="2"/>
      <c r="G3" s="2"/>
      <c r="H3" s="2"/>
      <c r="I3" s="2"/>
      <c r="J3" s="2"/>
    </row>
    <row r="4" spans="1:10" x14ac:dyDescent="0.3">
      <c r="A4" s="38" t="s">
        <v>1045</v>
      </c>
      <c r="B4" s="38"/>
      <c r="C4" s="38"/>
      <c r="D4" s="38"/>
      <c r="E4" s="38"/>
      <c r="F4" s="38"/>
      <c r="G4" s="38"/>
      <c r="H4" s="38"/>
      <c r="I4" s="38"/>
      <c r="J4" s="38"/>
    </row>
    <row r="5" spans="1:10" ht="259.2" x14ac:dyDescent="0.3">
      <c r="A5" s="2" t="s">
        <v>1046</v>
      </c>
      <c r="B5" s="2" t="s">
        <v>1047</v>
      </c>
      <c r="C5" s="2"/>
      <c r="D5" s="2"/>
      <c r="E5" s="2"/>
      <c r="F5" s="2"/>
      <c r="G5" s="2"/>
      <c r="H5" s="2"/>
      <c r="I5" s="2"/>
      <c r="J5" s="2"/>
    </row>
    <row r="6" spans="1:10" ht="216" x14ac:dyDescent="0.3">
      <c r="A6" s="2" t="s">
        <v>1048</v>
      </c>
      <c r="B6" s="2" t="s">
        <v>1049</v>
      </c>
      <c r="C6" s="2"/>
      <c r="D6" s="2"/>
      <c r="E6" s="2"/>
      <c r="F6" s="2"/>
      <c r="G6" s="2"/>
      <c r="H6" s="2"/>
      <c r="I6" s="2"/>
      <c r="J6" s="2"/>
    </row>
    <row r="7" spans="1:10" ht="216" x14ac:dyDescent="0.3">
      <c r="A7" s="2" t="s">
        <v>1050</v>
      </c>
      <c r="B7" s="2" t="s">
        <v>1051</v>
      </c>
      <c r="C7" s="2"/>
      <c r="D7" s="2"/>
      <c r="E7" s="2"/>
      <c r="F7" s="2"/>
      <c r="G7" s="2"/>
      <c r="H7" s="2"/>
      <c r="I7" s="2"/>
      <c r="J7" s="2"/>
    </row>
    <row r="8" spans="1:10" ht="172.8" x14ac:dyDescent="0.3">
      <c r="A8" s="2" t="s">
        <v>1052</v>
      </c>
      <c r="B8" s="2" t="s">
        <v>1053</v>
      </c>
      <c r="C8" s="2"/>
      <c r="D8" s="2"/>
      <c r="E8" s="2"/>
      <c r="F8" s="2"/>
      <c r="G8" s="2"/>
      <c r="H8" s="2"/>
      <c r="I8" s="2"/>
      <c r="J8" s="2"/>
    </row>
    <row r="9" spans="1:10" x14ac:dyDescent="0.3">
      <c r="A9" s="2"/>
      <c r="B9" s="2"/>
      <c r="C9" s="2"/>
      <c r="D9" s="2"/>
      <c r="E9" s="2"/>
      <c r="F9" s="2"/>
      <c r="G9" s="2"/>
      <c r="H9" s="2"/>
      <c r="I9" s="2"/>
      <c r="J9" s="2"/>
    </row>
    <row r="10" spans="1:10" x14ac:dyDescent="0.3">
      <c r="A10" s="38" t="s">
        <v>1054</v>
      </c>
      <c r="B10" s="38"/>
      <c r="C10" s="38"/>
      <c r="D10" s="38"/>
      <c r="E10" s="38"/>
      <c r="F10" s="38"/>
      <c r="G10" s="38"/>
      <c r="H10" s="38"/>
      <c r="I10" s="38"/>
      <c r="J10" s="38"/>
    </row>
    <row r="11" spans="1:10" ht="331.2" x14ac:dyDescent="0.3">
      <c r="A11" s="2" t="s">
        <v>1055</v>
      </c>
      <c r="B11" s="2" t="s">
        <v>1056</v>
      </c>
      <c r="C11" s="2"/>
      <c r="D11" s="2"/>
      <c r="E11" s="2"/>
      <c r="F11" s="2"/>
      <c r="G11" s="2"/>
      <c r="H11" s="2"/>
      <c r="I11" s="2"/>
      <c r="J11" s="2"/>
    </row>
    <row r="12" spans="1:10" ht="244.8" x14ac:dyDescent="0.3">
      <c r="A12" s="2" t="s">
        <v>1057</v>
      </c>
      <c r="B12" s="2" t="s">
        <v>1058</v>
      </c>
      <c r="C12" s="2"/>
      <c r="D12" s="2"/>
      <c r="E12" s="2"/>
      <c r="F12" s="2"/>
      <c r="G12" s="2"/>
      <c r="H12" s="2"/>
      <c r="I12" s="2"/>
      <c r="J12" s="2"/>
    </row>
    <row r="13" spans="1:10" ht="144" x14ac:dyDescent="0.3">
      <c r="A13" s="2" t="s">
        <v>1059</v>
      </c>
      <c r="B13" s="2" t="s">
        <v>1060</v>
      </c>
      <c r="C13" s="2"/>
      <c r="D13" s="2"/>
      <c r="E13" s="2"/>
      <c r="F13" s="2"/>
      <c r="G13" s="2"/>
      <c r="H13" s="2"/>
      <c r="I13" s="2"/>
      <c r="J13" s="2"/>
    </row>
    <row r="14" spans="1:10" ht="244.8" x14ac:dyDescent="0.3">
      <c r="A14" s="2" t="s">
        <v>1061</v>
      </c>
      <c r="B14" s="2" t="s">
        <v>1062</v>
      </c>
      <c r="C14" s="2"/>
      <c r="D14" s="2"/>
      <c r="E14" s="2"/>
      <c r="F14" s="2"/>
      <c r="G14" s="2"/>
      <c r="H14" s="2"/>
      <c r="I14" s="2"/>
      <c r="J14" s="2"/>
    </row>
    <row r="15" spans="1:10" ht="316.8" x14ac:dyDescent="0.3">
      <c r="A15" s="2" t="s">
        <v>1063</v>
      </c>
      <c r="B15" s="2" t="s">
        <v>1064</v>
      </c>
      <c r="C15" s="2"/>
      <c r="D15" s="2"/>
      <c r="E15" s="2"/>
      <c r="F15" s="2"/>
      <c r="G15" s="2"/>
      <c r="H15" s="2"/>
      <c r="I15" s="2"/>
      <c r="J15" s="2"/>
    </row>
    <row r="16" spans="1:10" x14ac:dyDescent="0.3">
      <c r="A16" s="2"/>
      <c r="B16" s="2"/>
      <c r="C16" s="2"/>
      <c r="D16" s="2"/>
      <c r="E16" s="2"/>
      <c r="F16" s="2"/>
      <c r="G16" s="2"/>
      <c r="H16" s="2"/>
      <c r="I16" s="2"/>
      <c r="J16" s="2"/>
    </row>
    <row r="17" spans="1:10" x14ac:dyDescent="0.3">
      <c r="A17" s="38" t="s">
        <v>1065</v>
      </c>
      <c r="B17" s="38"/>
      <c r="C17" s="38"/>
      <c r="D17" s="38"/>
      <c r="E17" s="38"/>
      <c r="F17" s="38"/>
      <c r="G17" s="38"/>
      <c r="H17" s="38"/>
      <c r="I17" s="38"/>
      <c r="J17" s="38"/>
    </row>
    <row r="18" spans="1:10" ht="187.2" x14ac:dyDescent="0.3">
      <c r="A18" s="2" t="s">
        <v>1067</v>
      </c>
      <c r="B18" s="2" t="s">
        <v>1068</v>
      </c>
      <c r="C18" s="2" t="s">
        <v>1069</v>
      </c>
      <c r="D18" s="2" t="s">
        <v>1070</v>
      </c>
      <c r="E18" s="2"/>
      <c r="F18" s="2"/>
      <c r="G18" s="2"/>
      <c r="H18" s="2"/>
      <c r="I18" s="2"/>
      <c r="J18" s="2"/>
    </row>
    <row r="19" spans="1:10" ht="144" x14ac:dyDescent="0.3">
      <c r="A19" s="2" t="s">
        <v>1071</v>
      </c>
      <c r="B19" s="2" t="s">
        <v>1072</v>
      </c>
      <c r="C19" s="2" t="s">
        <v>1073</v>
      </c>
      <c r="D19" s="2" t="s">
        <v>1074</v>
      </c>
      <c r="E19" s="2"/>
      <c r="F19" s="2"/>
      <c r="G19" s="2"/>
      <c r="H19" s="2"/>
      <c r="I19" s="2"/>
      <c r="J19" s="2"/>
    </row>
    <row r="20" spans="1:10" ht="144" x14ac:dyDescent="0.3">
      <c r="A20" s="2" t="s">
        <v>1075</v>
      </c>
      <c r="B20" s="2" t="s">
        <v>1076</v>
      </c>
      <c r="C20" s="2" t="s">
        <v>1077</v>
      </c>
      <c r="D20" s="2" t="s">
        <v>1078</v>
      </c>
      <c r="E20" s="2"/>
      <c r="F20" s="2"/>
      <c r="G20" s="2"/>
      <c r="H20" s="2"/>
      <c r="I20" s="2"/>
      <c r="J20" s="2"/>
    </row>
    <row r="21" spans="1:10" ht="172.8" x14ac:dyDescent="0.3">
      <c r="A21" s="2" t="s">
        <v>1079</v>
      </c>
      <c r="B21" s="2" t="s">
        <v>1080</v>
      </c>
      <c r="C21" s="2" t="s">
        <v>1081</v>
      </c>
      <c r="D21" s="2" t="s">
        <v>1082</v>
      </c>
      <c r="E21" s="2"/>
      <c r="F21" s="2"/>
      <c r="G21" s="2"/>
      <c r="H21" s="2"/>
      <c r="I21" s="2"/>
      <c r="J21" s="2"/>
    </row>
    <row r="22" spans="1:10" ht="201.6" x14ac:dyDescent="0.3">
      <c r="A22" s="2" t="s">
        <v>1083</v>
      </c>
      <c r="B22" s="2" t="s">
        <v>1084</v>
      </c>
      <c r="C22" s="2" t="s">
        <v>1085</v>
      </c>
      <c r="D22" s="2" t="s">
        <v>1086</v>
      </c>
      <c r="E22" s="2"/>
      <c r="F22" s="2"/>
      <c r="G22" s="2"/>
      <c r="H22" s="2"/>
      <c r="I22" s="2"/>
      <c r="J22" s="2"/>
    </row>
    <row r="23" spans="1:10" ht="158.4" x14ac:dyDescent="0.3">
      <c r="A23" s="2" t="s">
        <v>1087</v>
      </c>
      <c r="B23" s="2" t="s">
        <v>1088</v>
      </c>
      <c r="C23" s="2" t="s">
        <v>1089</v>
      </c>
      <c r="D23" s="2" t="s">
        <v>1090</v>
      </c>
      <c r="E23" s="2"/>
      <c r="F23" s="2"/>
      <c r="G23" s="2"/>
      <c r="H23" s="2"/>
      <c r="I23" s="2"/>
      <c r="J23" s="2"/>
    </row>
    <row r="24" spans="1:10" x14ac:dyDescent="0.3">
      <c r="A24" s="2"/>
      <c r="B24" s="2"/>
      <c r="C24" s="2"/>
      <c r="D24" s="2"/>
      <c r="E24" s="2"/>
      <c r="F24" s="2"/>
      <c r="G24" s="2"/>
      <c r="H24" s="2"/>
      <c r="I24" s="2"/>
      <c r="J24" s="2"/>
    </row>
    <row r="25" spans="1:10" x14ac:dyDescent="0.3">
      <c r="A25" s="38" t="s">
        <v>1091</v>
      </c>
      <c r="B25" s="38"/>
      <c r="C25" s="38"/>
      <c r="D25" s="38"/>
      <c r="E25" s="38"/>
      <c r="F25" s="38"/>
      <c r="G25" s="38"/>
      <c r="H25" s="38"/>
      <c r="I25" s="38"/>
      <c r="J25" s="38"/>
    </row>
    <row r="26" spans="1:10" ht="201.6" x14ac:dyDescent="0.3">
      <c r="A26" s="2" t="s">
        <v>1092</v>
      </c>
      <c r="B26" s="2" t="s">
        <v>1093</v>
      </c>
      <c r="C26" s="2"/>
      <c r="D26" s="2"/>
      <c r="E26" s="2"/>
      <c r="F26" s="2"/>
      <c r="G26" s="2"/>
      <c r="H26" s="2"/>
      <c r="I26" s="2"/>
      <c r="J26" s="2"/>
    </row>
    <row r="27" spans="1:10" ht="172.8" x14ac:dyDescent="0.3">
      <c r="A27" s="2" t="s">
        <v>1094</v>
      </c>
      <c r="B27" s="2" t="s">
        <v>1095</v>
      </c>
      <c r="C27" s="2"/>
      <c r="D27" s="2"/>
      <c r="E27" s="2"/>
      <c r="F27" s="2"/>
      <c r="G27" s="2"/>
      <c r="H27" s="2"/>
      <c r="I27" s="2"/>
      <c r="J27" s="2"/>
    </row>
    <row r="28" spans="1:10" ht="201.6" x14ac:dyDescent="0.3">
      <c r="A28" s="2" t="s">
        <v>1096</v>
      </c>
      <c r="B28" s="2" t="s">
        <v>1097</v>
      </c>
      <c r="C28" s="2"/>
      <c r="D28" s="2"/>
      <c r="E28" s="2"/>
      <c r="F28" s="2"/>
      <c r="G28" s="2"/>
      <c r="H28" s="2"/>
      <c r="I28" s="2"/>
      <c r="J28" s="2"/>
    </row>
    <row r="29" spans="1:10" ht="216" x14ac:dyDescent="0.3">
      <c r="A29" s="2" t="s">
        <v>1098</v>
      </c>
      <c r="B29" s="2" t="s">
        <v>1099</v>
      </c>
      <c r="C29" s="2"/>
      <c r="D29" s="2"/>
      <c r="E29" s="2"/>
      <c r="F29" s="2"/>
      <c r="G29" s="2"/>
      <c r="H29" s="2"/>
      <c r="I29" s="2"/>
      <c r="J29" s="2"/>
    </row>
    <row r="30" spans="1:10" ht="187.2" x14ac:dyDescent="0.3">
      <c r="A30" s="2" t="s">
        <v>1100</v>
      </c>
      <c r="B30" s="2" t="s">
        <v>1101</v>
      </c>
      <c r="C30" s="2"/>
      <c r="D30" s="2"/>
      <c r="E30" s="2"/>
      <c r="F30" s="2"/>
      <c r="G30" s="2"/>
      <c r="H30" s="2"/>
      <c r="I30" s="2"/>
      <c r="J30" s="2"/>
    </row>
    <row r="31" spans="1:10" x14ac:dyDescent="0.3">
      <c r="A31" s="2"/>
      <c r="B31" s="2"/>
      <c r="C31" s="2"/>
      <c r="D31" s="2"/>
      <c r="E31" s="2"/>
      <c r="F31" s="2"/>
      <c r="G31" s="2"/>
      <c r="H31" s="2"/>
      <c r="I31" s="2"/>
      <c r="J31" s="2"/>
    </row>
    <row r="32" spans="1:10" x14ac:dyDescent="0.3">
      <c r="A32" s="38" t="s">
        <v>1102</v>
      </c>
      <c r="B32" s="38"/>
      <c r="C32" s="38"/>
      <c r="D32" s="38"/>
      <c r="E32" s="38"/>
      <c r="F32" s="38"/>
      <c r="G32" s="38"/>
      <c r="H32" s="38"/>
      <c r="I32" s="38"/>
      <c r="J32" s="38"/>
    </row>
    <row r="33" spans="1:10" ht="409.6" x14ac:dyDescent="0.3">
      <c r="A33" s="2" t="s">
        <v>1103</v>
      </c>
      <c r="B33" s="2" t="s">
        <v>1104</v>
      </c>
      <c r="C33" s="2"/>
      <c r="D33" s="2"/>
      <c r="E33" s="2"/>
      <c r="F33" s="2"/>
      <c r="G33" s="2"/>
      <c r="H33" s="2"/>
      <c r="I33" s="2"/>
      <c r="J33" s="2"/>
    </row>
    <row r="34" spans="1:10" ht="409.6" x14ac:dyDescent="0.3">
      <c r="A34" s="2" t="s">
        <v>1105</v>
      </c>
      <c r="B34" s="2" t="s">
        <v>1106</v>
      </c>
      <c r="C34" s="2"/>
      <c r="D34" s="2"/>
      <c r="E34" s="2"/>
      <c r="F34" s="2"/>
      <c r="G34" s="2"/>
      <c r="H34" s="2"/>
      <c r="I34" s="2"/>
      <c r="J34" s="2"/>
    </row>
    <row r="35" spans="1:10" ht="345.6" x14ac:dyDescent="0.3">
      <c r="A35" s="2" t="s">
        <v>1107</v>
      </c>
      <c r="B35" s="2" t="s">
        <v>1108</v>
      </c>
      <c r="C35" s="2"/>
      <c r="D35" s="2"/>
      <c r="E35" s="2"/>
      <c r="F35" s="2"/>
      <c r="G35" s="2"/>
      <c r="H35" s="2"/>
      <c r="I35" s="2"/>
      <c r="J35" s="2"/>
    </row>
    <row r="36" spans="1:10" ht="403.2" x14ac:dyDescent="0.3">
      <c r="A36" s="2" t="s">
        <v>1109</v>
      </c>
      <c r="B36" s="2" t="s">
        <v>1110</v>
      </c>
      <c r="C36" s="2"/>
      <c r="D36" s="2"/>
      <c r="E36" s="2"/>
      <c r="F36" s="2"/>
      <c r="G36" s="2"/>
      <c r="H36" s="2"/>
      <c r="I36" s="2"/>
      <c r="J36" s="2"/>
    </row>
    <row r="37" spans="1:10" ht="331.2" x14ac:dyDescent="0.3">
      <c r="A37" s="2" t="s">
        <v>1111</v>
      </c>
      <c r="B37" s="2" t="s">
        <v>1112</v>
      </c>
      <c r="C37" s="2"/>
      <c r="D37" s="2"/>
      <c r="E37" s="2"/>
      <c r="F37" s="2"/>
      <c r="G37" s="2"/>
      <c r="H37" s="2"/>
      <c r="I37" s="2"/>
      <c r="J37" s="2"/>
    </row>
    <row r="38" spans="1:10" x14ac:dyDescent="0.3">
      <c r="A38" s="2"/>
      <c r="B38" s="2"/>
      <c r="C38" s="2"/>
      <c r="D38" s="2"/>
      <c r="E38" s="2"/>
      <c r="F38" s="2"/>
      <c r="G38" s="2"/>
      <c r="H38" s="2"/>
      <c r="I38" s="2"/>
      <c r="J38" s="2"/>
    </row>
  </sheetData>
  <mergeCells count="7">
    <mergeCell ref="A32:J32"/>
    <mergeCell ref="A1:J1"/>
    <mergeCell ref="A2:J2"/>
    <mergeCell ref="A4:J4"/>
    <mergeCell ref="A10:J10"/>
    <mergeCell ref="A17:J17"/>
    <mergeCell ref="A25:J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Ringkasan</vt:lpstr>
      <vt:lpstr>SKM Layanan</vt:lpstr>
      <vt:lpstr>Antikorupsi</vt:lpstr>
      <vt:lpstr>Pemahaman</vt:lpstr>
      <vt:lpstr>Rencana Aksi</vt:lpstr>
      <vt:lpstr>Respons Survei</vt:lpstr>
      <vt:lpstr>Publikasi Grafis</vt:lpstr>
      <vt:lpstr>Konsep Publikasi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riyu _dhi</dc:creator>
  <cp:lastModifiedBy>riyu _dhi</cp:lastModifiedBy>
  <dcterms:created xsi:type="dcterms:W3CDTF">2026-08-19T00:11:24Z</dcterms:created>
  <dcterms:modified xsi:type="dcterms:W3CDTF">2026-08-24T01:07:20Z</dcterms:modified>
</cp:coreProperties>
</file>